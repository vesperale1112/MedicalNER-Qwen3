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youya263958_eed2\msg\file\2026-08\"/>
    </mc:Choice>
  </mc:AlternateContent>
  <bookViews>
    <workbookView windowWidth="18052" windowHeight="8655" activeTab="1"/>
  </bookViews>
  <sheets>
    <sheet name="节点表new" sheetId="1" r:id="rId1"/>
    <sheet name="关系表new" sheetId="2" r:id="rId2"/>
    <sheet name="推断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<sst xmlns="http://schemas.openxmlformats.org/spreadsheetml/2006/main" count="800" uniqueCount="424">
  <si>
    <t>Label</t>
  </si>
  <si>
    <t>Node</t>
  </si>
  <si>
    <t>Core Properties（核心属性）</t>
  </si>
  <si>
    <t>说明</t>
  </si>
  <si>
    <t>Disease</t>
  </si>
  <si>
    <t>疾病</t>
  </si>
  <si>
    <t>ICD-11 Code、DSM-5 Mapping、Definition、Subtype、Specifier、Severity、Course、Epidemiology、Prognosis、Parent Disease</t>
  </si>
  <si>
    <t>疾病主体</t>
  </si>
  <si>
    <t>Symptom</t>
  </si>
  <si>
    <t>症状</t>
  </si>
  <si>
    <t>Name、Description、Category、Parent Symptom、Severity、Duration、Frequency、Sensitivity、Specificity</t>
  </si>
  <si>
    <t>所有症状统一建模</t>
  </si>
  <si>
    <t>Diagnostic Criterion</t>
  </si>
  <si>
    <t>诊断标准</t>
  </si>
  <si>
    <t>Source、Criterion ID、Description、Required、Logic、Threshold</t>
  </si>
  <si>
    <t>DSM/ICD诊断标准</t>
  </si>
  <si>
    <t>Assessment</t>
  </si>
  <si>
    <t>临床评估</t>
  </si>
  <si>
    <t>Assessment Type、Question、Trigger、Follow-up Question、Purpose</t>
  </si>
  <si>
    <t>问诊及精神检查</t>
  </si>
  <si>
    <t>Patient</t>
  </si>
  <si>
    <t>患者信息</t>
  </si>
  <si>
    <t>Age、Sex、Occupation、Education、Marriage、Family History、Psychiatric History、Trauma、Substance Use、Special Population</t>
  </si>
  <si>
    <t>患者背景</t>
  </si>
  <si>
    <t>Medication</t>
  </si>
  <si>
    <t>药物</t>
  </si>
  <si>
    <t>Generic Name、ATC Code、Mechanism、Dose、Indication、Contraindication、Side Effects、Drug Interaction、Metabolism、Pregnancy、Lactation</t>
  </si>
  <si>
    <t>Treatment</t>
  </si>
  <si>
    <t>非药物治疗</t>
  </si>
  <si>
    <t>Treatment Type、Description、Mechanism、Indication、Contraindication、Duration、Frequency、Evidence Level</t>
  </si>
  <si>
    <t>心理治疗等</t>
  </si>
  <si>
    <t>Treatment Plan</t>
  </si>
  <si>
    <t>治疗方案</t>
  </si>
  <si>
    <t>Plan Name、Applicable Disease、Disease Stage、Severity、Target Population、Recommendation Level、Description</t>
  </si>
  <si>
    <t>综合治疗策略</t>
  </si>
  <si>
    <t>Examination</t>
  </si>
  <si>
    <t>检查</t>
  </si>
  <si>
    <t>Test Type、Description、Purpose、Interpretation</t>
  </si>
  <si>
    <t>MRI、EEG等</t>
  </si>
  <si>
    <t>Assessment Scale</t>
  </si>
  <si>
    <t>量表</t>
  </si>
  <si>
    <t>Scale Name、Cutoff、Score Range、Interpretation、Target Disease</t>
  </si>
  <si>
    <t>PHQ-9等</t>
  </si>
  <si>
    <t>Etiology</t>
  </si>
  <si>
    <t>病因</t>
  </si>
  <si>
    <t>Etiology Type、Description、Evidence</t>
  </si>
  <si>
    <t>遗传、感染等</t>
  </si>
  <si>
    <t>Risk</t>
  </si>
  <si>
    <t>风险</t>
  </si>
  <si>
    <t>Risk Type、Risk Level、Description、Evidence Level</t>
  </si>
  <si>
    <t>自杀等</t>
  </si>
  <si>
    <t>Communication Strategy</t>
  </si>
  <si>
    <t>沟通策略</t>
  </si>
  <si>
    <t>Strategy、Scenario、Target Population、Contraindication</t>
  </si>
  <si>
    <t>医患沟通</t>
  </si>
  <si>
    <t>Guideline</t>
  </si>
  <si>
    <t>临床指南</t>
  </si>
  <si>
    <t>Guideline Name、Organization、Version、Publication Year</t>
  </si>
  <si>
    <t>APA、NICE等</t>
  </si>
  <si>
    <t>Evidence</t>
  </si>
  <si>
    <t>文献证据</t>
  </si>
  <si>
    <t>PMID、DOI、Study Type、Journal、GRADE、Publication Year</t>
  </si>
  <si>
    <t>RCT等</t>
  </si>
  <si>
    <t>模块</t>
  </si>
  <si>
    <t>Relation</t>
  </si>
  <si>
    <t>中文</t>
  </si>
  <si>
    <t>Target（最终推断）</t>
  </si>
  <si>
    <t>置信度</t>
  </si>
  <si>
    <t>建议状态</t>
  </si>
  <si>
    <t>旧版Schema依据</t>
  </si>
  <si>
    <t>推断/Schema备注</t>
  </si>
  <si>
    <t>Source修正建议</t>
  </si>
  <si>
    <t>Relation重命名建议</t>
  </si>
  <si>
    <t>belongs_to</t>
  </si>
  <si>
    <t>属于疾病分类</t>
  </si>
  <si>
    <t>["Disease"]</t>
  </si>
  <si>
    <t>高</t>
  </si>
  <si>
    <t>需复核</t>
  </si>
  <si>
    <t>旧版未定义该 relation</t>
  </si>
  <si>
    <t>疾病分类/父类仍属于 Disease；但与 subtype_of 语义高度重叠，建议最终只保留一个层级关系。</t>
  </si>
  <si>
    <t>subtype_of</t>
  </si>
  <si>
    <t>亚型</t>
  </si>
  <si>
    <t>可加入</t>
  </si>
  <si>
    <t>标准疾病层级关系。</t>
  </si>
  <si>
    <t>has_specifier</t>
  </si>
  <si>
    <t>Specifier</t>
  </si>
  <si>
    <t>直接删去关系</t>
  </si>
  <si>
    <t>建议改为属性/不建边</t>
  </si>
  <si>
    <t>新版节点表已将 Specifier 作为 Disease.Core Properties；当前无独立 Specifier 节点。</t>
  </si>
  <si>
    <t>differentiates_from</t>
  </si>
  <si>
    <t>鉴别诊断</t>
  </si>
  <si>
    <t>旧版 active: source=['Disease']; target=['Disease']</t>
  </si>
  <si>
    <t>疾病与疾病之间的鉴别诊断关系；旧版同名关系已明确为 Disease→Disease。</t>
  </si>
  <si>
    <t>co_occurs_with</t>
  </si>
  <si>
    <t>共病</t>
  </si>
  <si>
    <t>需修正 Source 后加入</t>
  </si>
  <si>
    <t>旧版对应关系 co_occurs_with_frequency (active): source=['Disease']; target=['Disease']</t>
  </si>
  <si>
    <t>“共病”语义应为 Disease→Disease；旧版 co_occurs_with_frequency 明确为 Disease→Disease，因此当前 Source 很可能误填。</t>
  </si>
  <si>
    <t>predisposes_to</t>
  </si>
  <si>
    <t>增加...的易感性</t>
  </si>
  <si>
    <t>中</t>
  </si>
  <si>
    <t>按当前节点集合可解释为某疾病增加另一疾病易感性；若实际语料表达危险因素，更适合 Etiology/Risk→Disease。</t>
  </si>
  <si>
    <t>causes</t>
  </si>
  <si>
    <t>导致</t>
  </si>
  <si>
    <t>按当前 Source 最自然为 Disease→Disease，但“导致”过宽；症状表现、病因导致疾病已有更专门关系。</t>
  </si>
  <si>
    <t>progresses_to</t>
  </si>
  <si>
    <t>进展为</t>
  </si>
  <si>
    <t>疾病进展到另一疾病/明确疾病状态。</t>
  </si>
  <si>
    <t>relapses_to</t>
  </si>
  <si>
    <t>复发为</t>
  </si>
  <si>
    <t>疾病复发到某疾病状态，Target 为 Disease。</t>
  </si>
  <si>
    <t>associated_with_poor_prognosis</t>
  </si>
  <si>
    <t>不良预后</t>
  </si>
  <si>
    <t>可加入（建议重命名）</t>
  </si>
  <si>
    <t>旧版对应关系 associated_with_poor_prognosis_in (active): source=['Disease', 'Symptom', 'Patient Information']; target=['Disease']</t>
  </si>
  <si>
    <t>旧版 active 关系 associated_with_poor_prognosis_in 的 Target 为 Disease，语义是“某因素与某疾病的不良预后相关”；不是单纯的 Prognosis 属性。</t>
  </si>
  <si>
    <t>associated_with_poor_prognosis_in</t>
  </si>
  <si>
    <t>has_diagnostic_criterion</t>
  </si>
  <si>
    <t>具有诊断标准</t>
  </si>
  <si>
    <t>["Diagnostic Criterion"]</t>
  </si>
  <si>
    <t>疾病具有诊断标准节点。</t>
  </si>
  <si>
    <t>recommended_assessment</t>
  </si>
  <si>
    <t>推荐评估</t>
  </si>
  <si>
    <t>["Assessment"]</t>
  </si>
  <si>
    <t>疾病推荐某临床评估。</t>
  </si>
  <si>
    <t>recommended_examination</t>
  </si>
  <si>
    <t>推荐检查</t>
  </si>
  <si>
    <t>["Examination"]</t>
  </si>
  <si>
    <t>疾病推荐某检查。</t>
  </si>
  <si>
    <t>recommended_treatment_plan</t>
  </si>
  <si>
    <t>推荐治疗方案</t>
  </si>
  <si>
    <t>["Treatment Plan"]</t>
  </si>
  <si>
    <t>疾病推荐综合治疗方案。</t>
  </si>
  <si>
    <t>associated_with_risk</t>
  </si>
  <si>
    <t>相关风险</t>
  </si>
  <si>
    <t>["Risk"]</t>
  </si>
  <si>
    <t>疾病与自杀、自伤等风险节点相关。</t>
  </si>
  <si>
    <t>commonly_affects</t>
  </si>
  <si>
    <t>指向特定patient节点</t>
  </si>
  <si>
    <t>["Patient"]</t>
  </si>
  <si>
    <t>中文说明指向特定 Patient 节点；若 Patient 表示具体个体而非人群类型，则 Disease→Patient 的类型级关系需谨慎。</t>
  </si>
  <si>
    <t>rules_out</t>
  </si>
  <si>
    <t>疾病排除疾病，与症状排除疾病做补充</t>
  </si>
  <si>
    <t>疾病排除/鉴别另一疾病，与 Symptom→Disease 的排除关系形成补充。</t>
  </si>
  <si>
    <t>managed_by_guideline</t>
  </si>
  <si>
    <t>指南管理</t>
  </si>
  <si>
    <t>["Guideline"]</t>
  </si>
  <si>
    <t>疾病由某临床指南覆盖/管理。</t>
  </si>
  <si>
    <t>required_for</t>
  </si>
  <si>
    <t>旧版对应关系 required_for_diagnosis_of (active): source=['Diagnostic Criteria']; target=['Disease']</t>
  </si>
  <si>
    <t>与旧版 required_for_diagnosis_of 的语义一致：诊断标准用于某疾病诊断。</t>
  </si>
  <si>
    <t>required_for_diagnosis_of</t>
  </si>
  <si>
    <t>is_core_symptom_of</t>
  </si>
  <si>
    <t>核心症状</t>
  </si>
  <si>
    <t>旧版 active: source=['Symptom']; target=['Disease']</t>
  </si>
  <si>
    <t>旧版 active 同名关系明确为 Symptom→Disease。</t>
  </si>
  <si>
    <t>is_associated_symptom_of</t>
  </si>
  <si>
    <t>伴随症状</t>
  </si>
  <si>
    <t>supports_diagnosis_of</t>
  </si>
  <si>
    <t>支持诊断</t>
  </si>
  <si>
    <t>症状支持疾病诊断。</t>
  </si>
  <si>
    <t>supports_Diagnostic Criterion_of</t>
  </si>
  <si>
    <t>支持诊断标准</t>
  </si>
  <si>
    <t>可加入（建议规范命名）</t>
  </si>
  <si>
    <t>症状支持某条诊断标准；Target 为 Diagnostic Criterion。建议统一 relation 命名风格与大小写。</t>
  </si>
  <si>
    <t>supports_diagnostic_criterion</t>
  </si>
  <si>
    <t>suggests</t>
  </si>
  <si>
    <t>提示</t>
  </si>
  <si>
    <t>中高</t>
  </si>
  <si>
    <t>临床症状可提示某疾病；语义清晰，但与 supports_diagnosis_of 有一定重叠。</t>
  </si>
  <si>
    <t>argues_against</t>
  </si>
  <si>
    <t>排除</t>
  </si>
  <si>
    <t>旧版对应关系 excludes_diagnosis_of (active): source=['Diagnostic Criteria', 'Symptom']; target=['Disease']</t>
  </si>
  <si>
    <t>与旧版 Symptom→excludes_diagnosis_of→Disease 的设计一致，表示降低/排除某诊断可能性。</t>
  </si>
  <si>
    <t>precedes</t>
  </si>
  <si>
    <t>先于</t>
  </si>
  <si>
    <t>["Symptom"]</t>
  </si>
  <si>
    <t>旧版同名关系：needs_medical_review（source/target 未定）</t>
  </si>
  <si>
    <t>旧版同名关系标记 needs_medical_review；按新版关系分组最自然解释为症状间时序。</t>
  </si>
  <si>
    <t>follows</t>
  </si>
  <si>
    <t>继发于</t>
  </si>
  <si>
    <t>aggravated_by</t>
  </si>
  <si>
    <t>加重</t>
  </si>
  <si>
    <t>改为属性risk_factor</t>
  </si>
  <si>
    <t>优先解释为症状加重另一症状；若希望表达加重疾病，应另设更明确 relation。</t>
  </si>
  <si>
    <t>relieved_by</t>
  </si>
  <si>
    <t>缓解</t>
  </si>
  <si>
    <t>["Medication", "Treatment","Treatment Plan"]</t>
  </si>
  <si>
    <t>症状可被药物或非药物治疗缓解。</t>
  </si>
  <si>
    <t>modulated_by</t>
  </si>
  <si>
    <t>调节</t>
  </si>
  <si>
    <t>["Etiology", "Medication", "Treatment"]</t>
  </si>
  <si>
    <t>低</t>
  </si>
  <si>
    <t>暂缓加入</t>
  </si>
  <si>
    <t>旧版同名关系已标记 needs_medical_review；“调节”可指诱因、药物或治疗，语义过宽，建议拆分为 worsened_by / relieved_by 等更具体关系。</t>
  </si>
  <si>
    <t>part_of</t>
  </si>
  <si>
    <t>属于</t>
  </si>
  <si>
    <t>可表示症状层级，但新版 Symptom 已有 Parent Symptom 属性，可能重复。</t>
  </si>
  <si>
    <t>has_subsymptom</t>
  </si>
  <si>
    <t>表现为</t>
  </si>
  <si>
    <t>可解释为上位/复合症状表现为更具体症状，但需与 Symptom.description/manifestation 类属性边界保持一致。</t>
  </si>
  <si>
    <t>assesses_for</t>
  </si>
  <si>
    <t>用于评估</t>
  </si>
  <si>
    <t>["Disease", "Symptom", "Risk"]</t>
  </si>
  <si>
    <t>旧版 active: source=['Interview Tool']; target=['Disease', 'Symptom']</t>
  </si>
  <si>
    <t>旧版 active 的 assesses_for 为 Interview Tool→Disease/Symptom；新版新增 Risk 节点后，风险评估也合理纳入 Target。</t>
  </si>
  <si>
    <t>asks_about</t>
  </si>
  <si>
    <t>询问症状</t>
  </si>
  <si>
    <t>临床评估问题询问症状。</t>
  </si>
  <si>
    <t>triggers_follow_up_question</t>
  </si>
  <si>
    <t>触发追问</t>
  </si>
  <si>
    <t>旧版相关关系 triggers_follow_up_question_on 标记 needs_medical_review。只有当追问问题也建成独立 Assessment 节点时 Target=Assessment；否则更适合作为 Follow-up Question 属性。</t>
  </si>
  <si>
    <t>triggers_scale</t>
  </si>
  <si>
    <t>触发量表</t>
  </si>
  <si>
    <t>["Assessment Scale"]</t>
  </si>
  <si>
    <t>临床评估触发量表。</t>
  </si>
  <si>
    <t>triggers_test</t>
  </si>
  <si>
    <t>触发检查</t>
  </si>
  <si>
    <t>临床评估触发检查。</t>
  </si>
  <si>
    <t>informed_by_patient</t>
  </si>
  <si>
    <t>受患者影响</t>
  </si>
  <si>
    <t>旧版对应关系 informed_by_patient_demographics (active): source=['Interview Tool']; target=['Patient Information']</t>
  </si>
  <si>
    <t>旧版 active 的 informed_by_patient_demographics 为 Interview Tool→Patient Information；新版可映射为 Assessment→Patient。</t>
  </si>
  <si>
    <t>presents_with</t>
  </si>
  <si>
    <t>出现症状</t>
  </si>
  <si>
    <t>患者出现症状。</t>
  </si>
  <si>
    <t>has_risk</t>
  </si>
  <si>
    <t>存在风险</t>
  </si>
  <si>
    <t>患者存在某风险。</t>
  </si>
  <si>
    <t>receives_treatment_plan</t>
  </si>
  <si>
    <t>接受治疗方案</t>
  </si>
  <si>
    <t>患者接受某治疗方案。</t>
  </si>
  <si>
    <t>contraindicated_for</t>
  </si>
  <si>
    <t>治疗禁忌</t>
  </si>
  <si>
    <t>["Medication", "Treatment"，"Treatment Plan"]</t>
  </si>
  <si>
    <t>患者/特定人群可对药物或非药物治疗存在禁忌；如需覆盖整体方案，可另评估是否加入 Treatment Plan。</t>
  </si>
  <si>
    <t>first_line_for</t>
  </si>
  <si>
    <t>一线药物</t>
  </si>
  <si>
    <t>旧版 active: source=['Medication']; target=['Disease']</t>
  </si>
  <si>
    <t>旧版 active 同名关系明确为 Medication→Disease。</t>
  </si>
  <si>
    <t>second_line_for</t>
  </si>
  <si>
    <t>二线药物</t>
  </si>
  <si>
    <t>二线药物对应疾病。</t>
  </si>
  <si>
    <t>recommended_for</t>
  </si>
  <si>
    <t>推荐用于</t>
  </si>
  <si>
    <t>旧版 active: source=['Communication Method']; target=['Disease', 'Patient Information']</t>
  </si>
  <si>
    <t>药物推荐用于某疾病。</t>
  </si>
  <si>
    <t>contraindicated_in</t>
  </si>
  <si>
    <t>禁忌</t>
  </si>
  <si>
    <t>["Disease", "Patient","Symptom"]</t>
  </si>
  <si>
    <t>可加入但需复核</t>
  </si>
  <si>
    <t>旧版同名关系曾标记 needs_medical_review；新版节点体系下，疾病/共病状态与特定患者人群均可形成禁忌。</t>
  </si>
  <si>
    <t>interacts_with</t>
  </si>
  <si>
    <t>药物相互作用</t>
  </si>
  <si>
    <t>["Medication"]</t>
  </si>
  <si>
    <t>虽然旧版曾标记 needs_medical_review，但在当前节点集合中药物相互作用的 Target=Medication 很明确。</t>
  </si>
  <si>
    <t>causes_side_effect</t>
  </si>
  <si>
    <t>导致副作用</t>
  </si>
  <si>
    <t>["Symptom","Disease"]</t>
  </si>
  <si>
    <t>当前没有 Side Effect 独立节点；若副作用统一作为临床表现建模，可映射到 Symptom，否则应保留为 Medication.Side Effects 属性。</t>
  </si>
  <si>
    <t>monitor_for</t>
  </si>
  <si>
    <t>监测</t>
  </si>
  <si>
    <t>["Examination", "Symptom", "Risk"]</t>
  </si>
  <si>
    <t>“监测”可能指实验室/检查指标、症状性不良反应或风险，Target 较宽，建议后续按语料拆分。</t>
  </si>
  <si>
    <t>combined_with</t>
  </si>
  <si>
    <t>联合治疗</t>
  </si>
  <si>
    <t>["Treatment", "Medication"]</t>
  </si>
  <si>
    <t>非药物治疗可与另一非药物治疗或药物联合。</t>
  </si>
  <si>
    <t>supported_by_evidence</t>
  </si>
  <si>
    <t>证据支持</t>
  </si>
  <si>
    <t>["Evidence"]</t>
  </si>
  <si>
    <t>治疗由文献证据支持。</t>
  </si>
  <si>
    <t>TreatmentPlan</t>
  </si>
  <si>
    <t>consists_of_medication</t>
  </si>
  <si>
    <t>包含药物</t>
  </si>
  <si>
    <t>Target 清晰；新版节点 Label 为 Treatment Plan，而关系表写作 TreatmentPlan，应统一。</t>
  </si>
  <si>
    <t>consists_of_treatment</t>
  </si>
  <si>
    <t>包含非药物</t>
  </si>
  <si>
    <t>["Treatment"]</t>
  </si>
  <si>
    <t>applicable_to</t>
  </si>
  <si>
    <t>适用于疾病</t>
  </si>
  <si>
    <t>治疗方案适用于疾病；同时应将 Source 统一为 Treatment Plan。</t>
  </si>
  <si>
    <t>recommended_by</t>
  </si>
  <si>
    <t>被指南推荐</t>
  </si>
  <si>
    <t>治疗方案由指南推荐；同时应将 Source 统一为 Treatment Plan。</t>
  </si>
  <si>
    <t>检查支持疾病诊断。</t>
  </si>
  <si>
    <t>differentiates</t>
  </si>
  <si>
    <t>鉴别</t>
  </si>
  <si>
    <t>检查用于鉴别疾病。</t>
  </si>
  <si>
    <t>confirms</t>
  </si>
  <si>
    <t>确诊</t>
  </si>
  <si>
    <t>检查确认/支持确诊疾病。</t>
  </si>
  <si>
    <t>evaluates</t>
  </si>
  <si>
    <t>评估疾病</t>
  </si>
  <si>
    <t>量表评估疾病/严重程度。</t>
  </si>
  <si>
    <t>triggered_by</t>
  </si>
  <si>
    <t>被Assessment触发</t>
  </si>
  <si>
    <t>量表由临床评估触发。</t>
  </si>
  <si>
    <t>measures</t>
  </si>
  <si>
    <t>测量症状</t>
  </si>
  <si>
    <t>量表测量症状。</t>
  </si>
  <si>
    <t>导致疾病</t>
  </si>
  <si>
    <t>病因导致疾病。</t>
  </si>
  <si>
    <t>contributes_to</t>
  </si>
  <si>
    <t>增加发生概率</t>
  </si>
  <si>
    <t>["Disease","Risk","Symptom"]</t>
  </si>
  <si>
    <t>病因/危险因素增加疾病发生概率。</t>
  </si>
  <si>
    <t>increased_by</t>
  </si>
  <si>
    <t>增加风险</t>
  </si>
  <si>
    <t>改为属性risk_increase_factors</t>
  </si>
  <si>
    <t>新版 Risk 节点更像风险结局/风险状态（如自杀风险），而该 relation 又要求 Source 像风险因素；Risk 节点语义存在混用，建议先拆分 Risk Factor 与 Risk Outcome。</t>
  </si>
  <si>
    <t>reduced_by</t>
  </si>
  <si>
    <t>保护作用</t>
  </si>
  <si>
    <t>改为属性protective_factors</t>
  </si>
  <si>
    <t>旧版同类风险关系设计未定；若 Source=Risk 表示风险状态，“保护作用”语义不自然。更适合独立 Protective Factor/Risk Factor 节点。</t>
  </si>
  <si>
    <t>triggers_alert_when</t>
  </si>
  <si>
    <t>触发预警</t>
  </si>
  <si>
    <t>改为属性alert_trigger_condition</t>
  </si>
  <si>
    <t>旧版 active: source=['Risk Information']; target=['Disease', 'Symptom']</t>
  </si>
  <si>
    <t>旧版 active 明确为 Risk Information→Disease/Symptom，表示某疾病/症状状态触发风险预警。</t>
  </si>
  <si>
    <t>requires_emergency_action</t>
  </si>
  <si>
    <t>需要紧急处理</t>
  </si>
  <si>
    <t>["Treatment Plan","Treatment","Medication"]</t>
  </si>
  <si>
    <t>当前无 Emergency Action 独立节点，只能将紧急处置映射到 Treatment Plan；若后续需要细粒度动作建议新增 Action/Intervention 节点。</t>
  </si>
  <si>
    <t>escalates_to</t>
  </si>
  <si>
    <t>升级处理</t>
  </si>
  <si>
    <t>旧版同名关系标记 needs_medical_review。结合中文“升级处理”，更像 Risk→Treatment Plan，而不是 Risk→Risk；建议重命名后再加入。</t>
  </si>
  <si>
    <t>requires_escalated_management</t>
  </si>
  <si>
    <t>mediated_by</t>
  </si>
  <si>
    <t>经由</t>
  </si>
  <si>
    <t>["Etiology", "Symptom", "Disease"]</t>
  </si>
  <si>
    <t>旧版同名关系标记 needs_medical_review；“经由”语义过宽，可能由病因、症状或疾病介导，暂不宜作为稳定 relation。</t>
  </si>
  <si>
    <t>applies_to_patient</t>
  </si>
  <si>
    <t>适用于患者</t>
  </si>
  <si>
    <t>风险适用于/关联某患者或患者类型。</t>
  </si>
  <si>
    <t>Communication</t>
  </si>
  <si>
    <t>["Disease", "Patient"]</t>
  </si>
  <si>
    <t>旧版 active 的 Communication Method→recommended_for→Disease/Patient Information 提供了直接依据；新版对应 Communication Strategy→Disease/Patient。</t>
  </si>
  <si>
    <t>avoid_with</t>
  </si>
  <si>
    <t>避免用于</t>
  </si>
  <si>
    <t>需修正 Source 并复核</t>
  </si>
  <si>
    <t>旧版 avoid_with 标记 needs_medical_review；与 recommended_for 对称时，Disease/Patient 是较合理 Target，但仍需语料验证。</t>
  </si>
  <si>
    <t>applies_to_stage</t>
  </si>
  <si>
    <t>适用于阶段</t>
  </si>
  <si>
    <t>改为属性stage</t>
  </si>
  <si>
    <t>当前没有 Disease Stage/Stage 独立节点；更适合作为 Communication Strategy 的适用阶段属性，或后续新增 Stage 节点。</t>
  </si>
  <si>
    <t>requires_family_support</t>
  </si>
  <si>
    <t>需要家属参与</t>
  </si>
  <si>
    <t>改为属性family support</t>
  </si>
  <si>
    <t>当前没有 Family/Support 独立节点；可作为布尔/文本属性，除非后续专门建模家庭支持。</t>
  </si>
  <si>
    <t>recommends</t>
  </si>
  <si>
    <t>推荐</t>
  </si>
  <si>
    <t>["Medication", "Treatment", "Treatment Plan", "Assessment", "Examination", "Assessment Scale", "Communication Strategy"]</t>
  </si>
  <si>
    <t>这是泛型推荐关系，Target 过宽；可暂保留，但生产 schema 更建议拆成 recommends_medication / recommends_treatment 等。</t>
  </si>
  <si>
    <t>based_on_evidence</t>
  </si>
  <si>
    <t>基于证据</t>
  </si>
  <si>
    <t>指南基于文献证据。</t>
  </si>
  <si>
    <t>updated_from</t>
  </si>
  <si>
    <t>更新自</t>
  </si>
  <si>
    <t>指南版本更新自另一指南版本。</t>
  </si>
  <si>
    <t>被指南引用</t>
  </si>
  <si>
    <t>中文为“被指南引用”，Target=Guideline 很明确；问题主要在 relation 命名，recommended_by 不准确。</t>
  </si>
  <si>
    <t>cited_by / used_as_evidence_by</t>
  </si>
  <si>
    <t>supported_by</t>
  </si>
  <si>
    <t>被证据支持</t>
  </si>
  <si>
    <t>可表示研究/证据之间相互支持或复核；但关系语义较泛，需明确什么情况下建立此边。</t>
  </si>
  <si>
    <t>derived_from</t>
  </si>
  <si>
    <t>来源于</t>
  </si>
  <si>
    <t>当前无 Study 节点，只能将来源研究也建成 Evidence；若后续新增 Study，Target 应改为 Study。</t>
  </si>
  <si>
    <t>cites</t>
  </si>
  <si>
    <t>引用</t>
  </si>
  <si>
    <t>文献证据引用另一文献证据。</t>
  </si>
  <si>
    <t>evidence_level</t>
  </si>
  <si>
    <t>证据等级</t>
  </si>
  <si>
    <t>新版 Evidence 已有 GRADE 属性，evidence_level 应作为属性而不是关系。</t>
  </si>
  <si>
    <t>关系 Target 推断说明</t>
  </si>
  <si>
    <t>推断原则</t>
  </si>
  <si>
    <t>以新版节点表为主；上一版 schema.json 仅作为历史 ontology 设计证据。旧版 active 定义可提升置信度，needs_medical_review 不视为已确认。</t>
  </si>
  <si>
    <t>保留原则</t>
  </si>
  <si>
    <t>所有 82 条关系均保留。低置信度标记为“暂缓加入”，但不会从 Excel 中删除；是否加入新版 schema 由你后续决定。</t>
  </si>
  <si>
    <t>含义</t>
  </si>
  <si>
    <t>建议</t>
  </si>
  <si>
    <t>Target 有明确节点语义，或有旧版 active 关系直接/高度对应支持。</t>
  </si>
  <si>
    <t>通常可直接采用；若状态列提示重命名/修正 Source，则先做该修正。</t>
  </si>
  <si>
    <t>Target 较明确，但旧版曾未定或当前节点抽象存在轻微歧义。</t>
  </si>
  <si>
    <t>可作为候选加入，建议人工快速确认。</t>
  </si>
  <si>
    <t>存在多种合理解释，或 Target 过宽/与属性有重叠。</t>
  </si>
  <si>
    <t>建议结合真实抽取语料再确认。</t>
  </si>
  <si>
    <t>关系本身语义不稳定、旧版已标记待医学审核，或当前节点体系不足以承载。</t>
  </si>
  <si>
    <t>建议暂缓加入新版 schema。</t>
  </si>
  <si>
    <t>统计项</t>
  </si>
  <si>
    <t>数量</t>
  </si>
  <si>
    <t>高置信度</t>
  </si>
  <si>
    <t>中高置信度</t>
  </si>
  <si>
    <t>中置信度</t>
  </si>
  <si>
    <t>低置信度</t>
  </si>
  <si>
    <t>关键修正</t>
  </si>
  <si>
    <t>旧判断/问题</t>
  </si>
  <si>
    <t>本版判断</t>
  </si>
  <si>
    <t>依据</t>
  </si>
  <si>
    <t>Diagnostic Criterion.co_occurs_with</t>
  </si>
  <si>
    <t>Source 不合理</t>
  </si>
  <si>
    <t>Disease → Disease</t>
  </si>
  <si>
    <t>旧版 co_occurs_with_frequency 为 active Disease→Disease</t>
  </si>
  <si>
    <t>Disease.associated_with_poor_prognosis</t>
  </si>
  <si>
    <t>曾考虑不建边</t>
  </si>
  <si>
    <t>Target = Disease</t>
  </si>
  <si>
    <t>旧版 associated_with_poor_prognosis_in 为 active，Target=Disease</t>
  </si>
  <si>
    <t>Assessment.assesses_for</t>
  </si>
  <si>
    <t>Disease / Risk</t>
  </si>
  <si>
    <t>Disease / Symptom / Risk</t>
  </si>
  <si>
    <t>旧版 assesses_for 为 active，Target 含 Disease、Symptom</t>
  </si>
  <si>
    <t>Communication.recommended_for</t>
  </si>
  <si>
    <t>Patient / Risk</t>
  </si>
  <si>
    <t>Disease / Patient</t>
  </si>
  <si>
    <t>旧版 Communication Method.recommended_for 为 active</t>
  </si>
  <si>
    <t>Risk.triggers_alert_when</t>
  </si>
  <si>
    <t>曾考虑条件属性</t>
  </si>
  <si>
    <t>Disease / Symptom</t>
  </si>
  <si>
    <t>旧版 active 明确 Target= Disease、Symptom</t>
  </si>
  <si>
    <t>Evidence.recommended_by</t>
  </si>
  <si>
    <t>Target 低置信</t>
  </si>
  <si>
    <t>Target=Guideline 高置信；建议改 relation 名</t>
  </si>
  <si>
    <t>中文“被指南引用”支持 cited_by / used_as_evidence_by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</si>
</sst>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</font>
    <font>
      <b/>
      <sz val="14"/>
      <color rgb="FFFFFFFF"/>
      <name val="宋体"/>
      <charset val="134"/>
    </font>
    <font>
      <b/>
      <sz val="11"/>
      <color theme="1"/>
      <name val="宋体"/>
      <charset val="134"/>
    </font>
    <font>
      <b/>
      <sz val="11"/>
      <color rgb="FFFFFFFF"/>
      <name val="宋体"/>
      <charset val="134"/>
    </font>
    <font>
      <strike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vertical="top"/>
    </xf>
    <xf numFmtId="0" fontId="2" fillId="3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top"/>
    </xf>
    <xf numFmtId="0" fontId="3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4" fillId="4" borderId="0" xfId="0" applyNumberFormat="1" applyFont="1" applyFill="1" applyBorder="1" applyAlignment="1">
      <alignment horizontal="center" vertical="top" wrapText="1"/>
    </xf>
    <xf numFmtId="0" fontId="4" fillId="4" borderId="0" xfId="0" applyNumberFormat="1" applyFont="1" applyFill="1" applyBorder="1" applyAlignment="1">
      <alignment vertical="top" wrapText="1"/>
    </xf>
    <xf numFmtId="0" fontId="0" fillId="4" borderId="0" xfId="0" applyFill="1"/>
    <xf numFmtId="0" fontId="0" fillId="4" borderId="0" xfId="0" applyNumberFormat="1" applyFont="1" applyFill="1" applyBorder="1" applyAlignment="1">
      <alignment vertical="top" wrapText="1"/>
    </xf>
    <xf numFmtId="0" fontId="0" fillId="4" borderId="0" xfId="0" applyFill="1" applyAlignment="1">
      <alignment vertical="top"/>
    </xf>
    <xf numFmtId="0" fontId="5" fillId="0" borderId="0" xfId="0" applyNumberFormat="1" applyFont="1" applyFill="1" applyBorder="1" applyAlignment="1">
      <alignment vertical="top" wrapText="1"/>
    </xf>
    <xf numFmtId="0" fontId="5" fillId="5" borderId="0" xfId="30" applyNumberFormat="1" applyBorder="1" applyAlignment="1">
      <alignment vertical="top" wrapText="1"/>
    </xf>
    <xf numFmtId="0" fontId="5" fillId="4" borderId="0" xfId="0" applyNumberFormat="1" applyFont="1" applyFill="1" applyBorder="1" applyAlignment="1">
      <alignment horizontal="center" vertical="top" wrapText="1"/>
    </xf>
    <xf numFmtId="0" fontId="5" fillId="4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3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DEB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595959"/>
      </font>
      <fill>
        <patternFill patternType="solid">
          <bgColor rgb="FFE7E6E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lationInferenceTable" displayName="RelationInferenceTable" ref="A1:J83" totalsRowShown="0">
  <tableColumns count="10">
    <tableColumn id="1" name="模块"/>
    <tableColumn id="2" name="Relation"/>
    <tableColumn id="3" name="中文"/>
    <tableColumn id="4" name="Target（最终推断）"/>
    <tableColumn id="5" name="置信度"/>
    <tableColumn id="6" name="建议状态"/>
    <tableColumn id="7" name="旧版Schema依据"/>
    <tableColumn id="8" name="推断/Schema备注"/>
    <tableColumn id="9" name="Source修正建议"/>
    <tableColumn id="10" name="Relation重命名建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13" sqref="D13"/>
    </sheetView>
  </sheetViews>
  <sheetFormatPr defaultColWidth="9" defaultRowHeight="13.5" outlineLevelCol="3"/>
  <cols>
    <col min="1" max="1" width="26" customWidth="1"/>
    <col min="2" max="2" width="18" customWidth="1"/>
    <col min="3" max="3" width="70" customWidth="1"/>
    <col min="4" max="4" width="28" customWidth="1"/>
  </cols>
  <sheetData>
    <row r="1" spans="1:4">
      <c r="A1" s="19" t="s">
        <v>0</v>
      </c>
      <c r="B1" s="19" t="s">
        <v>1</v>
      </c>
      <c r="C1" s="19" t="s">
        <v>2</v>
      </c>
      <c r="D1" s="19" t="s">
        <v>3</v>
      </c>
    </row>
    <row r="2" ht="39.6" customHeight="1" spans="1:4">
      <c r="A2" s="18" t="s">
        <v>4</v>
      </c>
      <c r="B2" s="18" t="s">
        <v>5</v>
      </c>
      <c r="C2" s="20" t="s">
        <v>6</v>
      </c>
      <c r="D2" s="21" t="s">
        <v>7</v>
      </c>
    </row>
    <row r="3" ht="26.45" customHeight="1" spans="1:4">
      <c r="A3" s="21" t="s">
        <v>8</v>
      </c>
      <c r="B3" s="21" t="s">
        <v>9</v>
      </c>
      <c r="C3" s="21" t="s">
        <v>10</v>
      </c>
      <c r="D3" s="21" t="s">
        <v>11</v>
      </c>
    </row>
    <row r="4" customHeight="1" spans="1:4">
      <c r="A4" s="21" t="s">
        <v>12</v>
      </c>
      <c r="B4" s="21" t="s">
        <v>13</v>
      </c>
      <c r="C4" s="21" t="s">
        <v>14</v>
      </c>
      <c r="D4" s="21" t="s">
        <v>15</v>
      </c>
    </row>
    <row r="5" customHeight="1" spans="1:4">
      <c r="A5" s="21" t="s">
        <v>16</v>
      </c>
      <c r="B5" s="21" t="s">
        <v>17</v>
      </c>
      <c r="C5" s="21" t="s">
        <v>18</v>
      </c>
      <c r="D5" s="21" t="s">
        <v>19</v>
      </c>
    </row>
    <row r="6" ht="26.45" customHeight="1" spans="1:4">
      <c r="A6" s="21" t="s">
        <v>20</v>
      </c>
      <c r="B6" s="21" t="s">
        <v>21</v>
      </c>
      <c r="C6" s="21" t="s">
        <v>22</v>
      </c>
      <c r="D6" s="21" t="s">
        <v>23</v>
      </c>
    </row>
    <row r="7" ht="26.45" customHeight="1" spans="1:4">
      <c r="A7" s="21" t="s">
        <v>24</v>
      </c>
      <c r="B7" s="21" t="s">
        <v>25</v>
      </c>
      <c r="C7" s="21" t="s">
        <v>26</v>
      </c>
      <c r="D7" s="21" t="s">
        <v>25</v>
      </c>
    </row>
    <row r="8" ht="39.6" customHeight="1" spans="1:4">
      <c r="A8" s="21" t="s">
        <v>27</v>
      </c>
      <c r="B8" s="21" t="s">
        <v>28</v>
      </c>
      <c r="C8" s="21" t="s">
        <v>29</v>
      </c>
      <c r="D8" s="21" t="s">
        <v>30</v>
      </c>
    </row>
    <row r="9" ht="26.45" customHeight="1" spans="1:4">
      <c r="A9" s="21" t="s">
        <v>31</v>
      </c>
      <c r="B9" s="21" t="s">
        <v>32</v>
      </c>
      <c r="C9" s="21" t="s">
        <v>33</v>
      </c>
      <c r="D9" s="21" t="s">
        <v>34</v>
      </c>
    </row>
    <row r="10" customHeight="1" spans="1:4">
      <c r="A10" s="21" t="s">
        <v>35</v>
      </c>
      <c r="B10" s="21" t="s">
        <v>36</v>
      </c>
      <c r="C10" s="21" t="s">
        <v>37</v>
      </c>
      <c r="D10" s="21" t="s">
        <v>38</v>
      </c>
    </row>
    <row r="11" customHeight="1" spans="1:4">
      <c r="A11" s="21" t="s">
        <v>39</v>
      </c>
      <c r="B11" s="21" t="s">
        <v>40</v>
      </c>
      <c r="C11" s="21" t="s">
        <v>41</v>
      </c>
      <c r="D11" s="21" t="s">
        <v>42</v>
      </c>
    </row>
    <row r="12" customHeight="1" spans="1:4">
      <c r="A12" s="21" t="s">
        <v>43</v>
      </c>
      <c r="B12" s="21" t="s">
        <v>44</v>
      </c>
      <c r="C12" s="21" t="s">
        <v>45</v>
      </c>
      <c r="D12" s="21" t="s">
        <v>46</v>
      </c>
    </row>
    <row r="13" customHeight="1" spans="1:4">
      <c r="A13" s="21" t="s">
        <v>47</v>
      </c>
      <c r="B13" s="21" t="s">
        <v>48</v>
      </c>
      <c r="C13" s="21" t="s">
        <v>49</v>
      </c>
      <c r="D13" s="21" t="s">
        <v>50</v>
      </c>
    </row>
    <row r="14" customHeight="1" spans="1:4">
      <c r="A14" s="21" t="s">
        <v>51</v>
      </c>
      <c r="B14" s="21" t="s">
        <v>52</v>
      </c>
      <c r="C14" s="21" t="s">
        <v>53</v>
      </c>
      <c r="D14" s="21" t="s">
        <v>54</v>
      </c>
    </row>
    <row r="15" customHeight="1" spans="1:4">
      <c r="A15" s="21" t="s">
        <v>55</v>
      </c>
      <c r="B15" s="21" t="s">
        <v>56</v>
      </c>
      <c r="C15" s="21" t="s">
        <v>57</v>
      </c>
      <c r="D15" s="21" t="s">
        <v>58</v>
      </c>
    </row>
    <row r="16" customHeight="1" spans="1:4">
      <c r="A16" s="21" t="s">
        <v>59</v>
      </c>
      <c r="B16" s="21" t="s">
        <v>60</v>
      </c>
      <c r="C16" s="21" t="s">
        <v>61</v>
      </c>
      <c r="D16" s="21" t="s">
        <v>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3"/>
  <sheetViews>
    <sheetView tabSelected="1" topLeftCell="A63" workbookViewId="0">
      <selection activeCell="D30" sqref="D30"/>
    </sheetView>
  </sheetViews>
  <sheetFormatPr defaultColWidth="9" defaultRowHeight="13.5"/>
  <cols>
    <col min="1" max="1" width="23" customWidth="1"/>
    <col min="2" max="2" width="36" customWidth="1"/>
    <col min="3" max="3" width="20" customWidth="1"/>
    <col min="4" max="4" width="42" customWidth="1"/>
    <col min="5" max="5" width="10" customWidth="1"/>
    <col min="6" max="6" width="24" customWidth="1"/>
    <col min="7" max="7" width="50" customWidth="1"/>
    <col min="8" max="8" width="64" customWidth="1"/>
    <col min="9" max="9" width="24" customWidth="1"/>
    <col min="10" max="10" width="36" customWidth="1"/>
  </cols>
  <sheetData>
    <row r="1" ht="28.05" customHeight="1" spans="1:10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71</v>
      </c>
      <c r="J1" s="6" t="s">
        <v>72</v>
      </c>
    </row>
    <row r="2" ht="26.45" customHeight="1" spans="1:10">
      <c r="A2" s="7" t="s">
        <v>4</v>
      </c>
      <c r="B2" s="4" t="s">
        <v>73</v>
      </c>
      <c r="C2" s="4" t="s">
        <v>74</v>
      </c>
      <c r="D2" s="4" t="s">
        <v>75</v>
      </c>
      <c r="E2" s="7" t="s">
        <v>76</v>
      </c>
      <c r="F2" s="7" t="s">
        <v>77</v>
      </c>
      <c r="G2" s="4" t="s">
        <v>78</v>
      </c>
      <c r="H2" s="4" t="s">
        <v>79</v>
      </c>
      <c r="I2" s="7"/>
      <c r="J2" s="4"/>
    </row>
    <row r="3" customHeight="1" spans="1:10">
      <c r="A3" s="7" t="s">
        <v>4</v>
      </c>
      <c r="B3" s="4" t="s">
        <v>80</v>
      </c>
      <c r="C3" s="4" t="s">
        <v>81</v>
      </c>
      <c r="D3" s="4" t="s">
        <v>75</v>
      </c>
      <c r="E3" s="7" t="s">
        <v>76</v>
      </c>
      <c r="F3" s="7" t="s">
        <v>82</v>
      </c>
      <c r="G3" s="4" t="s">
        <v>78</v>
      </c>
      <c r="H3" s="4" t="s">
        <v>83</v>
      </c>
      <c r="I3" s="7"/>
      <c r="J3" s="4"/>
    </row>
    <row r="4" ht="26.45" customHeight="1" spans="1:10">
      <c r="A4" s="8" t="s">
        <v>4</v>
      </c>
      <c r="B4" s="9" t="s">
        <v>84</v>
      </c>
      <c r="C4" s="9" t="s">
        <v>85</v>
      </c>
      <c r="D4" s="9" t="s">
        <v>86</v>
      </c>
      <c r="E4" s="7" t="s">
        <v>76</v>
      </c>
      <c r="F4" s="7" t="s">
        <v>87</v>
      </c>
      <c r="G4" s="4" t="s">
        <v>78</v>
      </c>
      <c r="H4" s="4" t="s">
        <v>88</v>
      </c>
      <c r="I4" s="7"/>
      <c r="J4" s="4"/>
    </row>
    <row r="5" customHeight="1" spans="1:10">
      <c r="A5" s="7" t="s">
        <v>4</v>
      </c>
      <c r="B5" s="4" t="s">
        <v>89</v>
      </c>
      <c r="C5" s="4" t="s">
        <v>90</v>
      </c>
      <c r="D5" s="4" t="s">
        <v>75</v>
      </c>
      <c r="E5" s="7" t="s">
        <v>76</v>
      </c>
      <c r="F5" s="7" t="s">
        <v>82</v>
      </c>
      <c r="G5" s="4" t="s">
        <v>91</v>
      </c>
      <c r="H5" s="4" t="s">
        <v>92</v>
      </c>
      <c r="I5" s="7"/>
      <c r="J5" s="4"/>
    </row>
    <row r="6" ht="26.45" customHeight="1" spans="1:10">
      <c r="A6" s="7" t="s">
        <v>12</v>
      </c>
      <c r="B6" s="4" t="s">
        <v>93</v>
      </c>
      <c r="C6" s="4" t="s">
        <v>94</v>
      </c>
      <c r="D6" s="4" t="s">
        <v>75</v>
      </c>
      <c r="E6" s="7" t="s">
        <v>76</v>
      </c>
      <c r="F6" s="7" t="s">
        <v>95</v>
      </c>
      <c r="G6" s="4" t="s">
        <v>96</v>
      </c>
      <c r="H6" s="4" t="s">
        <v>97</v>
      </c>
      <c r="I6" s="7" t="s">
        <v>4</v>
      </c>
      <c r="J6" s="4"/>
    </row>
    <row r="7" ht="26.45" customHeight="1" spans="1:10">
      <c r="A7" s="7" t="s">
        <v>4</v>
      </c>
      <c r="B7" s="4" t="s">
        <v>98</v>
      </c>
      <c r="C7" s="4" t="s">
        <v>99</v>
      </c>
      <c r="D7" s="4" t="s">
        <v>75</v>
      </c>
      <c r="E7" s="7" t="s">
        <v>100</v>
      </c>
      <c r="F7" s="7" t="s">
        <v>77</v>
      </c>
      <c r="G7" s="4" t="s">
        <v>78</v>
      </c>
      <c r="H7" s="4" t="s">
        <v>101</v>
      </c>
      <c r="I7" s="7"/>
      <c r="J7" s="4"/>
    </row>
    <row r="8" ht="26.45" customHeight="1" spans="1:10">
      <c r="A8" s="7" t="s">
        <v>4</v>
      </c>
      <c r="B8" s="4" t="s">
        <v>102</v>
      </c>
      <c r="C8" s="4" t="s">
        <v>103</v>
      </c>
      <c r="D8" s="4" t="s">
        <v>75</v>
      </c>
      <c r="E8" s="7" t="s">
        <v>100</v>
      </c>
      <c r="F8" s="7" t="s">
        <v>77</v>
      </c>
      <c r="G8" s="4" t="s">
        <v>78</v>
      </c>
      <c r="H8" s="4" t="s">
        <v>104</v>
      </c>
      <c r="I8" s="7"/>
      <c r="J8" s="4"/>
    </row>
    <row r="9" customHeight="1" spans="1:10">
      <c r="A9" s="7" t="s">
        <v>4</v>
      </c>
      <c r="B9" s="4" t="s">
        <v>105</v>
      </c>
      <c r="C9" s="4" t="s">
        <v>106</v>
      </c>
      <c r="D9" s="4" t="s">
        <v>75</v>
      </c>
      <c r="E9" s="7" t="s">
        <v>76</v>
      </c>
      <c r="F9" s="7" t="s">
        <v>82</v>
      </c>
      <c r="G9" s="4" t="s">
        <v>78</v>
      </c>
      <c r="H9" s="4" t="s">
        <v>107</v>
      </c>
      <c r="I9" s="7"/>
      <c r="J9" s="4"/>
    </row>
    <row r="10" customHeight="1" spans="1:10">
      <c r="A10" s="7" t="s">
        <v>4</v>
      </c>
      <c r="B10" s="4" t="s">
        <v>108</v>
      </c>
      <c r="C10" s="4" t="s">
        <v>109</v>
      </c>
      <c r="D10" s="4" t="s">
        <v>75</v>
      </c>
      <c r="E10" s="7" t="s">
        <v>76</v>
      </c>
      <c r="F10" s="7" t="s">
        <v>82</v>
      </c>
      <c r="G10" s="4" t="s">
        <v>78</v>
      </c>
      <c r="H10" s="4" t="s">
        <v>110</v>
      </c>
      <c r="I10" s="7"/>
      <c r="J10" s="4"/>
    </row>
    <row r="11" ht="39.6" customHeight="1" spans="1:10">
      <c r="A11" s="7" t="s">
        <v>4</v>
      </c>
      <c r="B11" s="4" t="s">
        <v>111</v>
      </c>
      <c r="C11" s="4" t="s">
        <v>112</v>
      </c>
      <c r="D11" s="4" t="s">
        <v>75</v>
      </c>
      <c r="E11" s="7" t="s">
        <v>76</v>
      </c>
      <c r="F11" s="7" t="s">
        <v>113</v>
      </c>
      <c r="G11" s="4" t="s">
        <v>114</v>
      </c>
      <c r="H11" s="4" t="s">
        <v>115</v>
      </c>
      <c r="I11" s="7"/>
      <c r="J11" s="4" t="s">
        <v>116</v>
      </c>
    </row>
    <row r="12" customHeight="1" spans="1:10">
      <c r="A12" s="7" t="s">
        <v>4</v>
      </c>
      <c r="B12" s="4" t="s">
        <v>117</v>
      </c>
      <c r="C12" s="4" t="s">
        <v>118</v>
      </c>
      <c r="D12" s="4" t="s">
        <v>119</v>
      </c>
      <c r="E12" s="7" t="s">
        <v>76</v>
      </c>
      <c r="F12" s="7" t="s">
        <v>82</v>
      </c>
      <c r="G12" s="4" t="s">
        <v>78</v>
      </c>
      <c r="H12" s="4" t="s">
        <v>120</v>
      </c>
      <c r="I12" s="7"/>
      <c r="J12" s="4"/>
    </row>
    <row r="13" customHeight="1" spans="1:10">
      <c r="A13" s="7" t="s">
        <v>4</v>
      </c>
      <c r="B13" s="4" t="s">
        <v>121</v>
      </c>
      <c r="C13" s="4" t="s">
        <v>122</v>
      </c>
      <c r="D13" s="4" t="s">
        <v>123</v>
      </c>
      <c r="E13" s="7" t="s">
        <v>76</v>
      </c>
      <c r="F13" s="7" t="s">
        <v>82</v>
      </c>
      <c r="G13" s="4" t="s">
        <v>78</v>
      </c>
      <c r="H13" s="4" t="s">
        <v>124</v>
      </c>
      <c r="I13" s="7"/>
      <c r="J13" s="4"/>
    </row>
    <row r="14" customHeight="1" spans="1:10">
      <c r="A14" s="7" t="s">
        <v>4</v>
      </c>
      <c r="B14" s="4" t="s">
        <v>125</v>
      </c>
      <c r="C14" s="4" t="s">
        <v>126</v>
      </c>
      <c r="D14" s="4" t="s">
        <v>127</v>
      </c>
      <c r="E14" s="7" t="s">
        <v>76</v>
      </c>
      <c r="F14" s="7" t="s">
        <v>82</v>
      </c>
      <c r="G14" s="4" t="s">
        <v>78</v>
      </c>
      <c r="H14" s="4" t="s">
        <v>128</v>
      </c>
      <c r="I14" s="7"/>
      <c r="J14" s="4"/>
    </row>
    <row r="15" customHeight="1" spans="1:10">
      <c r="A15" s="7" t="s">
        <v>4</v>
      </c>
      <c r="B15" s="4" t="s">
        <v>129</v>
      </c>
      <c r="C15" s="4" t="s">
        <v>130</v>
      </c>
      <c r="D15" s="4" t="s">
        <v>131</v>
      </c>
      <c r="E15" s="7" t="s">
        <v>76</v>
      </c>
      <c r="F15" s="7" t="s">
        <v>82</v>
      </c>
      <c r="G15" s="4" t="s">
        <v>78</v>
      </c>
      <c r="H15" s="4" t="s">
        <v>132</v>
      </c>
      <c r="I15" s="7"/>
      <c r="J15" s="4"/>
    </row>
    <row r="16" customHeight="1" spans="1:10">
      <c r="A16" s="7" t="s">
        <v>4</v>
      </c>
      <c r="B16" s="4" t="s">
        <v>133</v>
      </c>
      <c r="C16" s="4" t="s">
        <v>134</v>
      </c>
      <c r="D16" s="4" t="s">
        <v>135</v>
      </c>
      <c r="E16" s="7" t="s">
        <v>76</v>
      </c>
      <c r="F16" s="7" t="s">
        <v>82</v>
      </c>
      <c r="G16" s="4" t="s">
        <v>78</v>
      </c>
      <c r="H16" s="4" t="s">
        <v>136</v>
      </c>
      <c r="I16" s="7"/>
      <c r="J16" s="4"/>
    </row>
    <row r="17" ht="26.45" customHeight="1" spans="1:10">
      <c r="A17" s="7" t="s">
        <v>4</v>
      </c>
      <c r="B17" s="4" t="s">
        <v>137</v>
      </c>
      <c r="C17" s="4" t="s">
        <v>138</v>
      </c>
      <c r="D17" s="4" t="s">
        <v>139</v>
      </c>
      <c r="E17" s="7" t="s">
        <v>100</v>
      </c>
      <c r="F17" s="7" t="s">
        <v>77</v>
      </c>
      <c r="G17" s="4" t="s">
        <v>78</v>
      </c>
      <c r="H17" s="4" t="s">
        <v>140</v>
      </c>
      <c r="I17" s="7"/>
      <c r="J17" s="4"/>
    </row>
    <row r="18" ht="26.45" customHeight="1" spans="1:10">
      <c r="A18" s="7" t="s">
        <v>4</v>
      </c>
      <c r="B18" s="4" t="s">
        <v>141</v>
      </c>
      <c r="C18" s="4" t="s">
        <v>142</v>
      </c>
      <c r="D18" s="4" t="s">
        <v>75</v>
      </c>
      <c r="E18" s="7" t="s">
        <v>76</v>
      </c>
      <c r="F18" s="7" t="s">
        <v>82</v>
      </c>
      <c r="G18" s="4" t="s">
        <v>78</v>
      </c>
      <c r="H18" s="4" t="s">
        <v>143</v>
      </c>
      <c r="I18" s="7"/>
      <c r="J18" s="4"/>
    </row>
    <row r="19" customHeight="1" spans="1:10">
      <c r="A19" s="7" t="s">
        <v>4</v>
      </c>
      <c r="B19" s="4" t="s">
        <v>144</v>
      </c>
      <c r="C19" s="4" t="s">
        <v>145</v>
      </c>
      <c r="D19" s="4" t="s">
        <v>146</v>
      </c>
      <c r="E19" s="7" t="s">
        <v>76</v>
      </c>
      <c r="F19" s="7" t="s">
        <v>82</v>
      </c>
      <c r="G19" s="4" t="s">
        <v>78</v>
      </c>
      <c r="H19" s="4" t="s">
        <v>147</v>
      </c>
      <c r="I19" s="7"/>
      <c r="J19" s="4"/>
    </row>
    <row r="20" ht="26.45" customHeight="1" spans="1:10">
      <c r="A20" s="7" t="s">
        <v>12</v>
      </c>
      <c r="B20" s="4" t="s">
        <v>148</v>
      </c>
      <c r="C20" s="4" t="s">
        <v>13</v>
      </c>
      <c r="D20" s="4" t="s">
        <v>75</v>
      </c>
      <c r="E20" s="7" t="s">
        <v>76</v>
      </c>
      <c r="F20" s="7" t="s">
        <v>82</v>
      </c>
      <c r="G20" s="4" t="s">
        <v>149</v>
      </c>
      <c r="H20" s="4" t="s">
        <v>150</v>
      </c>
      <c r="I20" s="7"/>
      <c r="J20" s="4" t="s">
        <v>151</v>
      </c>
    </row>
    <row r="21" customHeight="1" spans="1:10">
      <c r="A21" s="7" t="s">
        <v>8</v>
      </c>
      <c r="B21" s="4" t="s">
        <v>152</v>
      </c>
      <c r="C21" s="4" t="s">
        <v>153</v>
      </c>
      <c r="D21" s="4" t="s">
        <v>75</v>
      </c>
      <c r="E21" s="7" t="s">
        <v>76</v>
      </c>
      <c r="F21" s="7" t="s">
        <v>82</v>
      </c>
      <c r="G21" s="4" t="s">
        <v>154</v>
      </c>
      <c r="H21" s="4" t="s">
        <v>155</v>
      </c>
      <c r="I21" s="7"/>
      <c r="J21" s="4"/>
    </row>
    <row r="22" customHeight="1" spans="1:10">
      <c r="A22" s="7" t="s">
        <v>8</v>
      </c>
      <c r="B22" s="4" t="s">
        <v>156</v>
      </c>
      <c r="C22" s="4" t="s">
        <v>157</v>
      </c>
      <c r="D22" s="4" t="s">
        <v>75</v>
      </c>
      <c r="E22" s="7" t="s">
        <v>76</v>
      </c>
      <c r="F22" s="7" t="s">
        <v>82</v>
      </c>
      <c r="G22" s="4" t="s">
        <v>154</v>
      </c>
      <c r="H22" s="4" t="s">
        <v>155</v>
      </c>
      <c r="I22" s="7"/>
      <c r="J22" s="4"/>
    </row>
    <row r="23" customHeight="1" spans="1:10">
      <c r="A23" s="7" t="s">
        <v>8</v>
      </c>
      <c r="B23" s="4" t="s">
        <v>158</v>
      </c>
      <c r="C23" s="4" t="s">
        <v>159</v>
      </c>
      <c r="D23" s="4" t="s">
        <v>75</v>
      </c>
      <c r="E23" s="7" t="s">
        <v>76</v>
      </c>
      <c r="F23" s="7" t="s">
        <v>82</v>
      </c>
      <c r="G23" s="4" t="s">
        <v>78</v>
      </c>
      <c r="H23" s="4" t="s">
        <v>160</v>
      </c>
      <c r="I23" s="7"/>
      <c r="J23" s="4"/>
    </row>
    <row r="24" ht="26.45" customHeight="1" spans="1:10">
      <c r="A24" s="7" t="s">
        <v>8</v>
      </c>
      <c r="B24" s="4" t="s">
        <v>161</v>
      </c>
      <c r="C24" s="4" t="s">
        <v>162</v>
      </c>
      <c r="D24" s="4" t="s">
        <v>119</v>
      </c>
      <c r="E24" s="7" t="s">
        <v>76</v>
      </c>
      <c r="F24" s="7" t="s">
        <v>163</v>
      </c>
      <c r="G24" s="4" t="s">
        <v>78</v>
      </c>
      <c r="H24" s="4" t="s">
        <v>164</v>
      </c>
      <c r="I24" s="7"/>
      <c r="J24" s="4" t="s">
        <v>165</v>
      </c>
    </row>
    <row r="25" customHeight="1" spans="1:10">
      <c r="A25" s="7" t="s">
        <v>8</v>
      </c>
      <c r="B25" s="4" t="s">
        <v>166</v>
      </c>
      <c r="C25" s="4" t="s">
        <v>167</v>
      </c>
      <c r="D25" s="4" t="s">
        <v>75</v>
      </c>
      <c r="E25" s="7" t="s">
        <v>168</v>
      </c>
      <c r="F25" s="7" t="s">
        <v>82</v>
      </c>
      <c r="G25" s="4" t="s">
        <v>78</v>
      </c>
      <c r="H25" s="4" t="s">
        <v>169</v>
      </c>
      <c r="I25" s="7"/>
      <c r="J25" s="4"/>
    </row>
    <row r="26" ht="26.45" customHeight="1" spans="1:10">
      <c r="A26" s="7" t="s">
        <v>8</v>
      </c>
      <c r="B26" s="4" t="s">
        <v>170</v>
      </c>
      <c r="C26" s="4" t="s">
        <v>171</v>
      </c>
      <c r="D26" s="4" t="s">
        <v>75</v>
      </c>
      <c r="E26" s="7" t="s">
        <v>76</v>
      </c>
      <c r="F26" s="7" t="s">
        <v>82</v>
      </c>
      <c r="G26" s="4" t="s">
        <v>172</v>
      </c>
      <c r="H26" s="4" t="s">
        <v>173</v>
      </c>
      <c r="I26" s="7"/>
      <c r="J26" s="4"/>
    </row>
    <row r="27" ht="26.45" customHeight="1" spans="1:10">
      <c r="A27" s="7" t="s">
        <v>8</v>
      </c>
      <c r="B27" s="4" t="s">
        <v>174</v>
      </c>
      <c r="C27" s="4" t="s">
        <v>175</v>
      </c>
      <c r="D27" s="4" t="s">
        <v>176</v>
      </c>
      <c r="E27" s="7" t="s">
        <v>100</v>
      </c>
      <c r="F27" s="7" t="s">
        <v>77</v>
      </c>
      <c r="G27" s="4" t="s">
        <v>177</v>
      </c>
      <c r="H27" s="4" t="s">
        <v>178</v>
      </c>
      <c r="I27" s="7"/>
      <c r="J27" s="4"/>
    </row>
    <row r="28" ht="26.45" customHeight="1" spans="1:10">
      <c r="A28" s="7" t="s">
        <v>8</v>
      </c>
      <c r="B28" s="4" t="s">
        <v>179</v>
      </c>
      <c r="C28" s="4" t="s">
        <v>180</v>
      </c>
      <c r="D28" s="4" t="s">
        <v>176</v>
      </c>
      <c r="E28" s="7" t="s">
        <v>100</v>
      </c>
      <c r="F28" s="7" t="s">
        <v>77</v>
      </c>
      <c r="G28" s="4" t="s">
        <v>177</v>
      </c>
      <c r="H28" s="4" t="s">
        <v>178</v>
      </c>
      <c r="I28" s="7"/>
      <c r="J28" s="4"/>
    </row>
    <row r="29" customHeight="1" spans="1:10">
      <c r="A29" s="7" t="s">
        <v>8</v>
      </c>
      <c r="B29" s="10" t="s">
        <v>181</v>
      </c>
      <c r="C29" s="4" t="s">
        <v>182</v>
      </c>
      <c r="D29" s="11" t="s">
        <v>183</v>
      </c>
      <c r="E29" s="7" t="s">
        <v>100</v>
      </c>
      <c r="F29" s="7" t="s">
        <v>77</v>
      </c>
      <c r="G29" s="4" t="s">
        <v>78</v>
      </c>
      <c r="H29" s="4" t="s">
        <v>184</v>
      </c>
      <c r="I29" s="7"/>
      <c r="J29" s="4"/>
    </row>
    <row r="30" customHeight="1" spans="1:10">
      <c r="A30" s="7" t="s">
        <v>8</v>
      </c>
      <c r="B30" s="4" t="s">
        <v>185</v>
      </c>
      <c r="C30" s="4" t="s">
        <v>186</v>
      </c>
      <c r="D30" s="11" t="s">
        <v>187</v>
      </c>
      <c r="E30" s="7" t="s">
        <v>76</v>
      </c>
      <c r="F30" s="7" t="s">
        <v>82</v>
      </c>
      <c r="G30" s="4" t="s">
        <v>78</v>
      </c>
      <c r="H30" s="4" t="s">
        <v>188</v>
      </c>
      <c r="I30" s="7"/>
      <c r="J30" s="4"/>
    </row>
    <row r="31" ht="39.6" customHeight="1" spans="1:10">
      <c r="A31" s="7" t="s">
        <v>8</v>
      </c>
      <c r="B31" s="4" t="s">
        <v>189</v>
      </c>
      <c r="C31" s="4" t="s">
        <v>190</v>
      </c>
      <c r="D31" s="4" t="s">
        <v>191</v>
      </c>
      <c r="E31" s="7" t="s">
        <v>192</v>
      </c>
      <c r="F31" s="7" t="s">
        <v>193</v>
      </c>
      <c r="G31" s="4" t="s">
        <v>177</v>
      </c>
      <c r="H31" s="4" t="s">
        <v>194</v>
      </c>
      <c r="I31" s="7"/>
      <c r="J31" s="4"/>
    </row>
    <row r="32" customHeight="1" spans="1:10">
      <c r="A32" s="7" t="s">
        <v>8</v>
      </c>
      <c r="B32" s="4" t="s">
        <v>195</v>
      </c>
      <c r="C32" s="4" t="s">
        <v>196</v>
      </c>
      <c r="D32" s="4" t="s">
        <v>176</v>
      </c>
      <c r="E32" s="7" t="s">
        <v>100</v>
      </c>
      <c r="F32" s="7" t="s">
        <v>77</v>
      </c>
      <c r="G32" s="4" t="s">
        <v>78</v>
      </c>
      <c r="H32" s="4" t="s">
        <v>197</v>
      </c>
      <c r="I32" s="7"/>
      <c r="J32" s="4"/>
    </row>
    <row r="33" ht="26.45" customHeight="1" spans="1:10">
      <c r="A33" s="7" t="s">
        <v>8</v>
      </c>
      <c r="B33" s="12" t="s">
        <v>198</v>
      </c>
      <c r="C33" s="4" t="s">
        <v>199</v>
      </c>
      <c r="D33" s="11" t="s">
        <v>176</v>
      </c>
      <c r="E33" s="7" t="s">
        <v>100</v>
      </c>
      <c r="F33" s="7" t="s">
        <v>77</v>
      </c>
      <c r="G33" s="4" t="s">
        <v>78</v>
      </c>
      <c r="H33" s="4" t="s">
        <v>200</v>
      </c>
      <c r="I33" s="7"/>
      <c r="J33" s="4"/>
    </row>
    <row r="34" ht="26.45" customHeight="1" spans="1:10">
      <c r="A34" s="7" t="s">
        <v>16</v>
      </c>
      <c r="B34" s="4" t="s">
        <v>201</v>
      </c>
      <c r="C34" s="13" t="s">
        <v>202</v>
      </c>
      <c r="D34" s="4" t="s">
        <v>203</v>
      </c>
      <c r="E34" s="7" t="s">
        <v>76</v>
      </c>
      <c r="F34" s="7" t="s">
        <v>82</v>
      </c>
      <c r="G34" s="4" t="s">
        <v>204</v>
      </c>
      <c r="H34" s="4" t="s">
        <v>205</v>
      </c>
      <c r="I34" s="7"/>
      <c r="J34" s="4"/>
    </row>
    <row r="35" customHeight="1" spans="1:10">
      <c r="A35" s="7" t="s">
        <v>16</v>
      </c>
      <c r="B35" s="4" t="s">
        <v>206</v>
      </c>
      <c r="C35" s="4" t="s">
        <v>207</v>
      </c>
      <c r="D35" s="4" t="s">
        <v>176</v>
      </c>
      <c r="E35" s="7" t="s">
        <v>76</v>
      </c>
      <c r="F35" s="7" t="s">
        <v>82</v>
      </c>
      <c r="G35" s="4" t="s">
        <v>78</v>
      </c>
      <c r="H35" s="4" t="s">
        <v>208</v>
      </c>
      <c r="I35" s="7"/>
      <c r="J35" s="4"/>
    </row>
    <row r="36" ht="39.6" customHeight="1" spans="1:10">
      <c r="A36" s="7" t="s">
        <v>16</v>
      </c>
      <c r="B36" s="4" t="s">
        <v>209</v>
      </c>
      <c r="C36" s="4" t="s">
        <v>210</v>
      </c>
      <c r="D36" s="4" t="s">
        <v>123</v>
      </c>
      <c r="E36" s="7" t="s">
        <v>100</v>
      </c>
      <c r="F36" s="7" t="s">
        <v>77</v>
      </c>
      <c r="G36" s="4" t="s">
        <v>78</v>
      </c>
      <c r="H36" s="4" t="s">
        <v>211</v>
      </c>
      <c r="I36" s="7"/>
      <c r="J36" s="4"/>
    </row>
    <row r="37" customHeight="1" spans="1:10">
      <c r="A37" s="7" t="s">
        <v>16</v>
      </c>
      <c r="B37" s="4" t="s">
        <v>212</v>
      </c>
      <c r="C37" s="4" t="s">
        <v>213</v>
      </c>
      <c r="D37" s="4" t="s">
        <v>214</v>
      </c>
      <c r="E37" s="7" t="s">
        <v>76</v>
      </c>
      <c r="F37" s="7" t="s">
        <v>82</v>
      </c>
      <c r="G37" s="4" t="s">
        <v>78</v>
      </c>
      <c r="H37" s="4" t="s">
        <v>215</v>
      </c>
      <c r="I37" s="7"/>
      <c r="J37" s="4"/>
    </row>
    <row r="38" customHeight="1" spans="1:10">
      <c r="A38" s="7" t="s">
        <v>16</v>
      </c>
      <c r="B38" s="4" t="s">
        <v>216</v>
      </c>
      <c r="C38" s="4" t="s">
        <v>217</v>
      </c>
      <c r="D38" s="4" t="s">
        <v>127</v>
      </c>
      <c r="E38" s="7" t="s">
        <v>76</v>
      </c>
      <c r="F38" s="7" t="s">
        <v>82</v>
      </c>
      <c r="G38" s="4" t="s">
        <v>78</v>
      </c>
      <c r="H38" s="4" t="s">
        <v>218</v>
      </c>
      <c r="I38" s="7"/>
      <c r="J38" s="4"/>
    </row>
    <row r="39" ht="26.45" customHeight="1" spans="1:10">
      <c r="A39" s="7" t="s">
        <v>16</v>
      </c>
      <c r="B39" s="4" t="s">
        <v>219</v>
      </c>
      <c r="C39" s="4" t="s">
        <v>220</v>
      </c>
      <c r="D39" s="4" t="s">
        <v>139</v>
      </c>
      <c r="E39" s="7" t="s">
        <v>76</v>
      </c>
      <c r="F39" s="7" t="s">
        <v>82</v>
      </c>
      <c r="G39" s="4" t="s">
        <v>221</v>
      </c>
      <c r="H39" s="4" t="s">
        <v>222</v>
      </c>
      <c r="I39" s="7"/>
      <c r="J39" s="4"/>
    </row>
    <row r="40" customHeight="1" spans="1:10">
      <c r="A40" s="7" t="s">
        <v>20</v>
      </c>
      <c r="B40" s="4" t="s">
        <v>223</v>
      </c>
      <c r="C40" s="4" t="s">
        <v>224</v>
      </c>
      <c r="D40" s="4" t="s">
        <v>176</v>
      </c>
      <c r="E40" s="7" t="s">
        <v>76</v>
      </c>
      <c r="F40" s="7" t="s">
        <v>82</v>
      </c>
      <c r="G40" s="4" t="s">
        <v>78</v>
      </c>
      <c r="H40" s="4" t="s">
        <v>225</v>
      </c>
      <c r="I40" s="7"/>
      <c r="J40" s="4"/>
    </row>
    <row r="41" customHeight="1" spans="1:10">
      <c r="A41" s="7" t="s">
        <v>20</v>
      </c>
      <c r="B41" s="4" t="s">
        <v>226</v>
      </c>
      <c r="C41" s="4" t="s">
        <v>227</v>
      </c>
      <c r="D41" s="4" t="s">
        <v>135</v>
      </c>
      <c r="E41" s="7" t="s">
        <v>76</v>
      </c>
      <c r="F41" s="7" t="s">
        <v>82</v>
      </c>
      <c r="G41" s="4" t="s">
        <v>78</v>
      </c>
      <c r="H41" s="4" t="s">
        <v>228</v>
      </c>
      <c r="I41" s="7"/>
      <c r="J41" s="4"/>
    </row>
    <row r="42" customHeight="1" spans="1:10">
      <c r="A42" s="7" t="s">
        <v>20</v>
      </c>
      <c r="B42" s="4" t="s">
        <v>229</v>
      </c>
      <c r="C42" s="4" t="s">
        <v>230</v>
      </c>
      <c r="D42" s="4" t="s">
        <v>131</v>
      </c>
      <c r="E42" s="7" t="s">
        <v>76</v>
      </c>
      <c r="F42" s="7" t="s">
        <v>82</v>
      </c>
      <c r="G42" s="4" t="s">
        <v>78</v>
      </c>
      <c r="H42" s="4" t="s">
        <v>231</v>
      </c>
      <c r="I42" s="7"/>
      <c r="J42" s="4"/>
    </row>
    <row r="43" ht="26.45" customHeight="1" spans="1:10">
      <c r="A43" s="7" t="s">
        <v>20</v>
      </c>
      <c r="B43" s="4" t="s">
        <v>232</v>
      </c>
      <c r="C43" s="4" t="s">
        <v>233</v>
      </c>
      <c r="D43" s="14" t="s">
        <v>234</v>
      </c>
      <c r="E43" s="7" t="s">
        <v>100</v>
      </c>
      <c r="F43" s="7" t="s">
        <v>77</v>
      </c>
      <c r="G43" s="4" t="s">
        <v>78</v>
      </c>
      <c r="H43" s="4" t="s">
        <v>235</v>
      </c>
      <c r="I43" s="7"/>
      <c r="J43" s="4"/>
    </row>
    <row r="44" customHeight="1" spans="1:10">
      <c r="A44" s="7" t="s">
        <v>24</v>
      </c>
      <c r="B44" s="4" t="s">
        <v>236</v>
      </c>
      <c r="C44" s="4" t="s">
        <v>237</v>
      </c>
      <c r="D44" s="4" t="s">
        <v>75</v>
      </c>
      <c r="E44" s="7" t="s">
        <v>76</v>
      </c>
      <c r="F44" s="7" t="s">
        <v>82</v>
      </c>
      <c r="G44" s="4" t="s">
        <v>238</v>
      </c>
      <c r="H44" s="4" t="s">
        <v>239</v>
      </c>
      <c r="I44" s="7"/>
      <c r="J44" s="4"/>
    </row>
    <row r="45" customHeight="1" spans="1:10">
      <c r="A45" s="7" t="s">
        <v>24</v>
      </c>
      <c r="B45" s="4" t="s">
        <v>240</v>
      </c>
      <c r="C45" s="4" t="s">
        <v>241</v>
      </c>
      <c r="D45" s="4" t="s">
        <v>75</v>
      </c>
      <c r="E45" s="7" t="s">
        <v>76</v>
      </c>
      <c r="F45" s="7" t="s">
        <v>82</v>
      </c>
      <c r="G45" s="4" t="s">
        <v>78</v>
      </c>
      <c r="H45" s="4" t="s">
        <v>242</v>
      </c>
      <c r="I45" s="7"/>
      <c r="J45" s="4"/>
    </row>
    <row r="46" ht="26.45" customHeight="1" spans="1:10">
      <c r="A46" s="7" t="s">
        <v>24</v>
      </c>
      <c r="B46" s="4" t="s">
        <v>243</v>
      </c>
      <c r="C46" s="4" t="s">
        <v>244</v>
      </c>
      <c r="D46" s="4" t="s">
        <v>75</v>
      </c>
      <c r="E46" s="7" t="s">
        <v>76</v>
      </c>
      <c r="F46" s="7" t="s">
        <v>82</v>
      </c>
      <c r="G46" s="4" t="s">
        <v>245</v>
      </c>
      <c r="H46" s="4" t="s">
        <v>246</v>
      </c>
      <c r="I46" s="7"/>
      <c r="J46" s="4"/>
    </row>
    <row r="47" ht="39.6" customHeight="1" spans="1:10">
      <c r="A47" s="7" t="s">
        <v>24</v>
      </c>
      <c r="B47" s="4" t="s">
        <v>247</v>
      </c>
      <c r="C47" s="4" t="s">
        <v>248</v>
      </c>
      <c r="D47" s="14" t="s">
        <v>249</v>
      </c>
      <c r="E47" s="7" t="s">
        <v>168</v>
      </c>
      <c r="F47" s="7" t="s">
        <v>250</v>
      </c>
      <c r="G47" s="4" t="s">
        <v>177</v>
      </c>
      <c r="H47" s="4" t="s">
        <v>251</v>
      </c>
      <c r="I47" s="7"/>
      <c r="J47" s="4"/>
    </row>
    <row r="48" ht="26.45" customHeight="1" spans="1:10">
      <c r="A48" s="7" t="s">
        <v>24</v>
      </c>
      <c r="B48" s="4" t="s">
        <v>252</v>
      </c>
      <c r="C48" s="4" t="s">
        <v>253</v>
      </c>
      <c r="D48" s="4" t="s">
        <v>254</v>
      </c>
      <c r="E48" s="7" t="s">
        <v>76</v>
      </c>
      <c r="F48" s="7" t="s">
        <v>82</v>
      </c>
      <c r="G48" s="4" t="s">
        <v>177</v>
      </c>
      <c r="H48" s="4" t="s">
        <v>255</v>
      </c>
      <c r="I48" s="7"/>
      <c r="J48" s="4"/>
    </row>
    <row r="49" ht="26.45" customHeight="1" spans="1:10">
      <c r="A49" s="7" t="s">
        <v>24</v>
      </c>
      <c r="B49" s="4" t="s">
        <v>256</v>
      </c>
      <c r="C49" s="4" t="s">
        <v>257</v>
      </c>
      <c r="D49" s="11" t="s">
        <v>258</v>
      </c>
      <c r="E49" s="7" t="s">
        <v>168</v>
      </c>
      <c r="F49" s="7" t="s">
        <v>250</v>
      </c>
      <c r="G49" s="4" t="s">
        <v>78</v>
      </c>
      <c r="H49" s="4" t="s">
        <v>259</v>
      </c>
      <c r="I49" s="7"/>
      <c r="J49" s="4"/>
    </row>
    <row r="50" ht="26.45" customHeight="1" spans="1:10">
      <c r="A50" s="7" t="s">
        <v>24</v>
      </c>
      <c r="B50" s="4" t="s">
        <v>260</v>
      </c>
      <c r="C50" s="4" t="s">
        <v>261</v>
      </c>
      <c r="D50" s="4" t="s">
        <v>262</v>
      </c>
      <c r="E50" s="7" t="s">
        <v>100</v>
      </c>
      <c r="F50" s="7" t="s">
        <v>77</v>
      </c>
      <c r="G50" s="4" t="s">
        <v>78</v>
      </c>
      <c r="H50" s="4" t="s">
        <v>263</v>
      </c>
      <c r="I50" s="7"/>
      <c r="J50" s="4"/>
    </row>
    <row r="51" customHeight="1" spans="1:10">
      <c r="A51" s="7" t="s">
        <v>27</v>
      </c>
      <c r="B51" s="4" t="s">
        <v>264</v>
      </c>
      <c r="C51" s="4" t="s">
        <v>265</v>
      </c>
      <c r="D51" s="4" t="s">
        <v>266</v>
      </c>
      <c r="E51" s="7" t="s">
        <v>76</v>
      </c>
      <c r="F51" s="7" t="s">
        <v>82</v>
      </c>
      <c r="G51" s="4" t="s">
        <v>78</v>
      </c>
      <c r="H51" s="4" t="s">
        <v>267</v>
      </c>
      <c r="I51" s="7"/>
      <c r="J51" s="4"/>
    </row>
    <row r="52" customHeight="1" spans="1:10">
      <c r="A52" s="7" t="s">
        <v>27</v>
      </c>
      <c r="B52" s="4" t="s">
        <v>268</v>
      </c>
      <c r="C52" s="4" t="s">
        <v>269</v>
      </c>
      <c r="D52" s="4" t="s">
        <v>270</v>
      </c>
      <c r="E52" s="7" t="s">
        <v>76</v>
      </c>
      <c r="F52" s="7" t="s">
        <v>82</v>
      </c>
      <c r="G52" s="4" t="s">
        <v>78</v>
      </c>
      <c r="H52" s="4" t="s">
        <v>271</v>
      </c>
      <c r="I52" s="7"/>
      <c r="J52" s="4"/>
    </row>
    <row r="53" ht="26.45" customHeight="1" spans="1:10">
      <c r="A53" s="7" t="s">
        <v>272</v>
      </c>
      <c r="B53" s="4" t="s">
        <v>273</v>
      </c>
      <c r="C53" s="4" t="s">
        <v>274</v>
      </c>
      <c r="D53" s="4" t="s">
        <v>254</v>
      </c>
      <c r="E53" s="7" t="s">
        <v>76</v>
      </c>
      <c r="F53" s="7" t="s">
        <v>95</v>
      </c>
      <c r="G53" s="4" t="s">
        <v>78</v>
      </c>
      <c r="H53" s="4" t="s">
        <v>275</v>
      </c>
      <c r="I53" s="7" t="s">
        <v>31</v>
      </c>
      <c r="J53" s="4"/>
    </row>
    <row r="54" ht="26.45" customHeight="1" spans="1:10">
      <c r="A54" s="7" t="s">
        <v>272</v>
      </c>
      <c r="B54" s="4" t="s">
        <v>276</v>
      </c>
      <c r="C54" s="4" t="s">
        <v>277</v>
      </c>
      <c r="D54" s="4" t="s">
        <v>278</v>
      </c>
      <c r="E54" s="7" t="s">
        <v>76</v>
      </c>
      <c r="F54" s="7" t="s">
        <v>95</v>
      </c>
      <c r="G54" s="4" t="s">
        <v>78</v>
      </c>
      <c r="H54" s="4" t="s">
        <v>275</v>
      </c>
      <c r="I54" s="7" t="s">
        <v>31</v>
      </c>
      <c r="J54" s="4"/>
    </row>
    <row r="55" customHeight="1" spans="1:10">
      <c r="A55" s="7" t="s">
        <v>272</v>
      </c>
      <c r="B55" s="4" t="s">
        <v>279</v>
      </c>
      <c r="C55" s="4" t="s">
        <v>280</v>
      </c>
      <c r="D55" s="4" t="s">
        <v>75</v>
      </c>
      <c r="E55" s="7" t="s">
        <v>76</v>
      </c>
      <c r="F55" s="7" t="s">
        <v>95</v>
      </c>
      <c r="G55" s="4" t="s">
        <v>78</v>
      </c>
      <c r="H55" s="4" t="s">
        <v>281</v>
      </c>
      <c r="I55" s="7" t="s">
        <v>31</v>
      </c>
      <c r="J55" s="4"/>
    </row>
    <row r="56" customHeight="1" spans="1:10">
      <c r="A56" s="7" t="s">
        <v>272</v>
      </c>
      <c r="B56" s="4" t="s">
        <v>282</v>
      </c>
      <c r="C56" s="4" t="s">
        <v>283</v>
      </c>
      <c r="D56" s="4" t="s">
        <v>146</v>
      </c>
      <c r="E56" s="7" t="s">
        <v>76</v>
      </c>
      <c r="F56" s="7" t="s">
        <v>95</v>
      </c>
      <c r="G56" s="4" t="s">
        <v>78</v>
      </c>
      <c r="H56" s="4" t="s">
        <v>284</v>
      </c>
      <c r="I56" s="7" t="s">
        <v>31</v>
      </c>
      <c r="J56" s="4"/>
    </row>
    <row r="57" customHeight="1" spans="1:10">
      <c r="A57" s="7" t="s">
        <v>35</v>
      </c>
      <c r="B57" s="4" t="s">
        <v>158</v>
      </c>
      <c r="C57" s="4" t="s">
        <v>159</v>
      </c>
      <c r="D57" s="4" t="s">
        <v>75</v>
      </c>
      <c r="E57" s="7" t="s">
        <v>76</v>
      </c>
      <c r="F57" s="7" t="s">
        <v>82</v>
      </c>
      <c r="G57" s="4" t="s">
        <v>78</v>
      </c>
      <c r="H57" s="4" t="s">
        <v>285</v>
      </c>
      <c r="I57" s="7"/>
      <c r="J57" s="4"/>
    </row>
    <row r="58" customHeight="1" spans="1:10">
      <c r="A58" s="7" t="s">
        <v>35</v>
      </c>
      <c r="B58" s="4" t="s">
        <v>286</v>
      </c>
      <c r="C58" s="4" t="s">
        <v>287</v>
      </c>
      <c r="D58" s="4" t="s">
        <v>75</v>
      </c>
      <c r="E58" s="7" t="s">
        <v>76</v>
      </c>
      <c r="F58" s="7" t="s">
        <v>82</v>
      </c>
      <c r="G58" s="4" t="s">
        <v>78</v>
      </c>
      <c r="H58" s="4" t="s">
        <v>288</v>
      </c>
      <c r="I58" s="7"/>
      <c r="J58" s="4"/>
    </row>
    <row r="59" customHeight="1" spans="1:10">
      <c r="A59" s="7" t="s">
        <v>35</v>
      </c>
      <c r="B59" s="4" t="s">
        <v>289</v>
      </c>
      <c r="C59" s="4" t="s">
        <v>290</v>
      </c>
      <c r="D59" s="4" t="s">
        <v>75</v>
      </c>
      <c r="E59" s="7" t="s">
        <v>76</v>
      </c>
      <c r="F59" s="7" t="s">
        <v>82</v>
      </c>
      <c r="G59" s="4" t="s">
        <v>78</v>
      </c>
      <c r="H59" s="4" t="s">
        <v>291</v>
      </c>
      <c r="I59" s="7"/>
      <c r="J59" s="4"/>
    </row>
    <row r="60" customHeight="1" spans="1:10">
      <c r="A60" s="7" t="s">
        <v>39</v>
      </c>
      <c r="B60" s="4" t="s">
        <v>292</v>
      </c>
      <c r="C60" s="4" t="s">
        <v>293</v>
      </c>
      <c r="D60" s="4" t="s">
        <v>75</v>
      </c>
      <c r="E60" s="7" t="s">
        <v>76</v>
      </c>
      <c r="F60" s="7" t="s">
        <v>82</v>
      </c>
      <c r="G60" s="4" t="s">
        <v>78</v>
      </c>
      <c r="H60" s="4" t="s">
        <v>294</v>
      </c>
      <c r="I60" s="7"/>
      <c r="J60" s="4"/>
    </row>
    <row r="61" customHeight="1" spans="1:10">
      <c r="A61" s="7" t="s">
        <v>39</v>
      </c>
      <c r="B61" s="4" t="s">
        <v>295</v>
      </c>
      <c r="C61" s="4" t="s">
        <v>296</v>
      </c>
      <c r="D61" s="4" t="s">
        <v>123</v>
      </c>
      <c r="E61" s="7" t="s">
        <v>76</v>
      </c>
      <c r="F61" s="7" t="s">
        <v>82</v>
      </c>
      <c r="G61" s="4" t="s">
        <v>78</v>
      </c>
      <c r="H61" s="4" t="s">
        <v>297</v>
      </c>
      <c r="I61" s="7"/>
      <c r="J61" s="4"/>
    </row>
    <row r="62" customHeight="1" spans="1:10">
      <c r="A62" s="7" t="s">
        <v>39</v>
      </c>
      <c r="B62" s="4" t="s">
        <v>298</v>
      </c>
      <c r="C62" s="4" t="s">
        <v>299</v>
      </c>
      <c r="D62" s="11" t="s">
        <v>258</v>
      </c>
      <c r="E62" s="7" t="s">
        <v>76</v>
      </c>
      <c r="F62" s="7" t="s">
        <v>82</v>
      </c>
      <c r="G62" s="4" t="s">
        <v>78</v>
      </c>
      <c r="H62" s="4" t="s">
        <v>300</v>
      </c>
      <c r="I62" s="7"/>
      <c r="J62" s="4"/>
    </row>
    <row r="63" customHeight="1" spans="1:10">
      <c r="A63" s="7" t="s">
        <v>43</v>
      </c>
      <c r="B63" s="4" t="s">
        <v>102</v>
      </c>
      <c r="C63" s="4" t="s">
        <v>301</v>
      </c>
      <c r="D63" s="4" t="s">
        <v>75</v>
      </c>
      <c r="E63" s="7" t="s">
        <v>76</v>
      </c>
      <c r="F63" s="7" t="s">
        <v>82</v>
      </c>
      <c r="G63" s="4" t="s">
        <v>78</v>
      </c>
      <c r="H63" s="4" t="s">
        <v>302</v>
      </c>
      <c r="I63" s="7"/>
      <c r="J63" s="4"/>
    </row>
    <row r="64" customHeight="1" spans="1:10">
      <c r="A64" s="7" t="s">
        <v>43</v>
      </c>
      <c r="B64" s="4" t="s">
        <v>303</v>
      </c>
      <c r="C64" s="4" t="s">
        <v>304</v>
      </c>
      <c r="D64" s="11" t="s">
        <v>305</v>
      </c>
      <c r="E64" s="7" t="s">
        <v>76</v>
      </c>
      <c r="F64" s="7" t="s">
        <v>82</v>
      </c>
      <c r="G64" s="4" t="s">
        <v>78</v>
      </c>
      <c r="H64" s="4" t="s">
        <v>306</v>
      </c>
      <c r="I64" s="7"/>
      <c r="J64" s="4"/>
    </row>
    <row r="65" ht="39.6" customHeight="1" spans="1:10">
      <c r="A65" s="15" t="s">
        <v>47</v>
      </c>
      <c r="B65" s="16" t="s">
        <v>307</v>
      </c>
      <c r="C65" s="11" t="s">
        <v>308</v>
      </c>
      <c r="D65" s="11" t="s">
        <v>309</v>
      </c>
      <c r="E65" s="7" t="s">
        <v>192</v>
      </c>
      <c r="F65" s="7" t="s">
        <v>193</v>
      </c>
      <c r="G65" s="4" t="s">
        <v>78</v>
      </c>
      <c r="H65" s="4" t="s">
        <v>310</v>
      </c>
      <c r="I65" s="7"/>
      <c r="J65" s="4"/>
    </row>
    <row r="66" ht="39.6" customHeight="1" spans="1:10">
      <c r="A66" s="17" t="s">
        <v>47</v>
      </c>
      <c r="B66" s="11" t="s">
        <v>311</v>
      </c>
      <c r="C66" s="11" t="s">
        <v>312</v>
      </c>
      <c r="D66" s="11" t="s">
        <v>313</v>
      </c>
      <c r="E66" s="7" t="s">
        <v>192</v>
      </c>
      <c r="F66" s="7" t="s">
        <v>193</v>
      </c>
      <c r="G66" s="4" t="s">
        <v>78</v>
      </c>
      <c r="H66" s="4" t="s">
        <v>314</v>
      </c>
      <c r="I66" s="7"/>
      <c r="J66" s="4"/>
    </row>
    <row r="67" ht="26.45" customHeight="1" spans="1:10">
      <c r="A67" s="7" t="s">
        <v>47</v>
      </c>
      <c r="B67" s="18" t="s">
        <v>315</v>
      </c>
      <c r="C67" s="18" t="s">
        <v>316</v>
      </c>
      <c r="D67" s="16" t="s">
        <v>317</v>
      </c>
      <c r="E67" s="7" t="s">
        <v>76</v>
      </c>
      <c r="F67" s="7" t="s">
        <v>82</v>
      </c>
      <c r="G67" s="4" t="s">
        <v>318</v>
      </c>
      <c r="H67" s="4" t="s">
        <v>319</v>
      </c>
      <c r="I67" s="7"/>
      <c r="J67" s="4"/>
    </row>
    <row r="68" ht="26.45" customHeight="1" spans="1:10">
      <c r="A68" s="7" t="s">
        <v>47</v>
      </c>
      <c r="B68" s="4" t="s">
        <v>320</v>
      </c>
      <c r="C68" s="4" t="s">
        <v>321</v>
      </c>
      <c r="D68" s="11" t="s">
        <v>322</v>
      </c>
      <c r="E68" s="7" t="s">
        <v>100</v>
      </c>
      <c r="F68" s="7" t="s">
        <v>77</v>
      </c>
      <c r="G68" s="4" t="s">
        <v>78</v>
      </c>
      <c r="H68" s="4" t="s">
        <v>323</v>
      </c>
      <c r="I68" s="7"/>
      <c r="J68" s="4"/>
    </row>
    <row r="69" ht="26.45" customHeight="1" spans="1:10">
      <c r="A69" s="7" t="s">
        <v>47</v>
      </c>
      <c r="B69" s="4" t="s">
        <v>324</v>
      </c>
      <c r="C69" s="4" t="s">
        <v>325</v>
      </c>
      <c r="D69" s="11" t="s">
        <v>322</v>
      </c>
      <c r="E69" s="7" t="s">
        <v>192</v>
      </c>
      <c r="F69" s="7" t="s">
        <v>193</v>
      </c>
      <c r="G69" s="4" t="s">
        <v>177</v>
      </c>
      <c r="H69" s="4" t="s">
        <v>326</v>
      </c>
      <c r="I69" s="7"/>
      <c r="J69" s="4" t="s">
        <v>327</v>
      </c>
    </row>
    <row r="70" ht="39.6" customHeight="1" spans="1:10">
      <c r="A70" s="7" t="s">
        <v>47</v>
      </c>
      <c r="B70" s="4" t="s">
        <v>328</v>
      </c>
      <c r="C70" s="4" t="s">
        <v>329</v>
      </c>
      <c r="D70" s="4" t="s">
        <v>330</v>
      </c>
      <c r="E70" s="7" t="s">
        <v>192</v>
      </c>
      <c r="F70" s="7" t="s">
        <v>193</v>
      </c>
      <c r="G70" s="4" t="s">
        <v>177</v>
      </c>
      <c r="H70" s="4" t="s">
        <v>331</v>
      </c>
      <c r="I70" s="7"/>
      <c r="J70" s="4"/>
    </row>
    <row r="71" customHeight="1" spans="1:10">
      <c r="A71" s="7" t="s">
        <v>47</v>
      </c>
      <c r="B71" s="4" t="s">
        <v>332</v>
      </c>
      <c r="C71" s="4" t="s">
        <v>333</v>
      </c>
      <c r="D71" s="4" t="s">
        <v>139</v>
      </c>
      <c r="E71" s="7" t="s">
        <v>76</v>
      </c>
      <c r="F71" s="7" t="s">
        <v>82</v>
      </c>
      <c r="G71" s="4" t="s">
        <v>78</v>
      </c>
      <c r="H71" s="4" t="s">
        <v>334</v>
      </c>
      <c r="I71" s="7"/>
      <c r="J71" s="4"/>
    </row>
    <row r="72" ht="39.6" customHeight="1" spans="1:10">
      <c r="A72" s="7" t="s">
        <v>335</v>
      </c>
      <c r="B72" s="4" t="s">
        <v>243</v>
      </c>
      <c r="C72" s="4" t="s">
        <v>244</v>
      </c>
      <c r="D72" s="4" t="s">
        <v>336</v>
      </c>
      <c r="E72" s="7" t="s">
        <v>76</v>
      </c>
      <c r="F72" s="7" t="s">
        <v>95</v>
      </c>
      <c r="G72" s="4" t="s">
        <v>245</v>
      </c>
      <c r="H72" s="4" t="s">
        <v>337</v>
      </c>
      <c r="I72" s="7" t="s">
        <v>51</v>
      </c>
      <c r="J72" s="4"/>
    </row>
    <row r="73" ht="26.45" customHeight="1" spans="1:10">
      <c r="A73" s="7" t="s">
        <v>335</v>
      </c>
      <c r="B73" s="4" t="s">
        <v>338</v>
      </c>
      <c r="C73" s="4" t="s">
        <v>339</v>
      </c>
      <c r="D73" s="4" t="s">
        <v>336</v>
      </c>
      <c r="E73" s="7" t="s">
        <v>100</v>
      </c>
      <c r="F73" s="7" t="s">
        <v>340</v>
      </c>
      <c r="G73" s="4" t="s">
        <v>177</v>
      </c>
      <c r="H73" s="4" t="s">
        <v>341</v>
      </c>
      <c r="I73" s="7" t="s">
        <v>51</v>
      </c>
      <c r="J73" s="4"/>
    </row>
    <row r="74" ht="26.45" customHeight="1" spans="1:10">
      <c r="A74" s="7" t="s">
        <v>335</v>
      </c>
      <c r="B74" s="4" t="s">
        <v>342</v>
      </c>
      <c r="C74" s="4" t="s">
        <v>343</v>
      </c>
      <c r="D74" s="11" t="s">
        <v>344</v>
      </c>
      <c r="E74" s="7" t="s">
        <v>76</v>
      </c>
      <c r="F74" s="7" t="s">
        <v>87</v>
      </c>
      <c r="G74" s="4" t="s">
        <v>78</v>
      </c>
      <c r="H74" s="4" t="s">
        <v>345</v>
      </c>
      <c r="I74" s="7" t="s">
        <v>51</v>
      </c>
      <c r="J74" s="4"/>
    </row>
    <row r="75" ht="26.45" customHeight="1" spans="1:10">
      <c r="A75" s="7" t="s">
        <v>335</v>
      </c>
      <c r="B75" s="4" t="s">
        <v>346</v>
      </c>
      <c r="C75" s="4" t="s">
        <v>347</v>
      </c>
      <c r="D75" s="11" t="s">
        <v>348</v>
      </c>
      <c r="E75" s="7" t="s">
        <v>76</v>
      </c>
      <c r="F75" s="7" t="s">
        <v>87</v>
      </c>
      <c r="G75" s="4" t="s">
        <v>78</v>
      </c>
      <c r="H75" s="4" t="s">
        <v>349</v>
      </c>
      <c r="I75" s="7" t="s">
        <v>51</v>
      </c>
      <c r="J75" s="4"/>
    </row>
    <row r="76" ht="39.6" customHeight="1" spans="1:10">
      <c r="A76" s="7" t="s">
        <v>55</v>
      </c>
      <c r="B76" s="4" t="s">
        <v>350</v>
      </c>
      <c r="C76" s="4" t="s">
        <v>351</v>
      </c>
      <c r="D76" s="4" t="s">
        <v>352</v>
      </c>
      <c r="E76" s="7" t="s">
        <v>100</v>
      </c>
      <c r="F76" s="7" t="s">
        <v>77</v>
      </c>
      <c r="G76" s="4" t="s">
        <v>78</v>
      </c>
      <c r="H76" s="4" t="s">
        <v>353</v>
      </c>
      <c r="I76" s="7"/>
      <c r="J76" s="4"/>
    </row>
    <row r="77" customHeight="1" spans="1:10">
      <c r="A77" s="7" t="s">
        <v>55</v>
      </c>
      <c r="B77" s="4" t="s">
        <v>354</v>
      </c>
      <c r="C77" s="4" t="s">
        <v>355</v>
      </c>
      <c r="D77" s="4" t="s">
        <v>270</v>
      </c>
      <c r="E77" s="7" t="s">
        <v>76</v>
      </c>
      <c r="F77" s="7" t="s">
        <v>82</v>
      </c>
      <c r="G77" s="4" t="s">
        <v>78</v>
      </c>
      <c r="H77" s="4" t="s">
        <v>356</v>
      </c>
      <c r="I77" s="7"/>
      <c r="J77" s="4"/>
    </row>
    <row r="78" customHeight="1" spans="1:10">
      <c r="A78" s="7" t="s">
        <v>55</v>
      </c>
      <c r="B78" s="4" t="s">
        <v>357</v>
      </c>
      <c r="C78" s="4" t="s">
        <v>358</v>
      </c>
      <c r="D78" s="4" t="s">
        <v>146</v>
      </c>
      <c r="E78" s="7" t="s">
        <v>76</v>
      </c>
      <c r="F78" s="7" t="s">
        <v>82</v>
      </c>
      <c r="G78" s="4" t="s">
        <v>78</v>
      </c>
      <c r="H78" s="4" t="s">
        <v>359</v>
      </c>
      <c r="I78" s="7"/>
      <c r="J78" s="4"/>
    </row>
    <row r="79" ht="26.45" customHeight="1" spans="1:10">
      <c r="A79" s="7" t="s">
        <v>59</v>
      </c>
      <c r="B79" s="4" t="s">
        <v>282</v>
      </c>
      <c r="C79" s="4" t="s">
        <v>360</v>
      </c>
      <c r="D79" s="4" t="s">
        <v>146</v>
      </c>
      <c r="E79" s="7" t="s">
        <v>76</v>
      </c>
      <c r="F79" s="7" t="s">
        <v>113</v>
      </c>
      <c r="G79" s="4" t="s">
        <v>78</v>
      </c>
      <c r="H79" s="4" t="s">
        <v>361</v>
      </c>
      <c r="I79" s="7"/>
      <c r="J79" s="4" t="s">
        <v>362</v>
      </c>
    </row>
    <row r="80" ht="26.45" customHeight="1" spans="1:10">
      <c r="A80" s="7" t="s">
        <v>59</v>
      </c>
      <c r="B80" s="4" t="s">
        <v>363</v>
      </c>
      <c r="C80" s="4" t="s">
        <v>364</v>
      </c>
      <c r="D80" s="4" t="s">
        <v>270</v>
      </c>
      <c r="E80" s="7" t="s">
        <v>100</v>
      </c>
      <c r="F80" s="7" t="s">
        <v>77</v>
      </c>
      <c r="G80" s="4" t="s">
        <v>78</v>
      </c>
      <c r="H80" s="4" t="s">
        <v>365</v>
      </c>
      <c r="I80" s="7"/>
      <c r="J80" s="4"/>
    </row>
    <row r="81" ht="26.45" customHeight="1" spans="1:10">
      <c r="A81" s="7" t="s">
        <v>59</v>
      </c>
      <c r="B81" s="4" t="s">
        <v>366</v>
      </c>
      <c r="C81" s="4" t="s">
        <v>367</v>
      </c>
      <c r="D81" s="4" t="s">
        <v>270</v>
      </c>
      <c r="E81" s="7" t="s">
        <v>100</v>
      </c>
      <c r="F81" s="7" t="s">
        <v>77</v>
      </c>
      <c r="G81" s="4" t="s">
        <v>78</v>
      </c>
      <c r="H81" s="4" t="s">
        <v>368</v>
      </c>
      <c r="I81" s="7"/>
      <c r="J81" s="4"/>
    </row>
    <row r="82" customHeight="1" spans="1:10">
      <c r="A82" s="7" t="s">
        <v>59</v>
      </c>
      <c r="B82" s="4" t="s">
        <v>369</v>
      </c>
      <c r="C82" s="4" t="s">
        <v>370</v>
      </c>
      <c r="D82" s="4" t="s">
        <v>270</v>
      </c>
      <c r="E82" s="7" t="s">
        <v>76</v>
      </c>
      <c r="F82" s="7" t="s">
        <v>82</v>
      </c>
      <c r="G82" s="4" t="s">
        <v>78</v>
      </c>
      <c r="H82" s="4" t="s">
        <v>371</v>
      </c>
      <c r="I82" s="7"/>
      <c r="J82" s="4"/>
    </row>
    <row r="83" customHeight="1" spans="1:10">
      <c r="A83" s="8" t="s">
        <v>59</v>
      </c>
      <c r="B83" s="9" t="s">
        <v>372</v>
      </c>
      <c r="C83" s="9" t="s">
        <v>373</v>
      </c>
      <c r="D83" s="9" t="s">
        <v>86</v>
      </c>
      <c r="E83" s="7" t="s">
        <v>76</v>
      </c>
      <c r="F83" s="7" t="s">
        <v>87</v>
      </c>
      <c r="G83" s="4" t="s">
        <v>78</v>
      </c>
      <c r="H83" s="4" t="s">
        <v>374</v>
      </c>
      <c r="I83" s="7"/>
      <c r="J83" s="4"/>
    </row>
  </sheetData>
  <conditionalFormatting sqref="E2:E83">
    <cfRule type="expression" dxfId="0" priority="1">
      <formula>E2="高"</formula>
    </cfRule>
    <cfRule type="expression" dxfId="1" priority="2">
      <formula>E2="中高"</formula>
    </cfRule>
    <cfRule type="expression" dxfId="2" priority="3">
      <formula>E2="中"</formula>
    </cfRule>
    <cfRule type="expression" dxfId="3" priority="4">
      <formula>E2="低"</formula>
    </cfRule>
  </conditionalFormatting>
  <conditionalFormatting sqref="F2:F83">
    <cfRule type="expression" dxfId="3" priority="5">
      <formula>F2="暂缓加入"</formula>
    </cfRule>
    <cfRule type="expression" dxfId="4" priority="6">
      <formula>F2="建议改为属性/不建边"</formula>
    </cfRule>
    <cfRule type="expression" dxfId="5" priority="7">
      <formula>ISNUMBER(SEARCH("需复核",F2))</formula>
    </cfRule>
    <cfRule type="expression" dxfId="6" priority="8">
      <formula>ISNUMBER(SEARCH("可加入",F2))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="85" zoomScaleNormal="85" workbookViewId="0">
      <selection activeCell="A1" sqref="A1:D1"/>
    </sheetView>
  </sheetViews>
  <sheetFormatPr defaultColWidth="9" defaultRowHeight="13.5" outlineLevelCol="3"/>
  <cols>
    <col min="1" max="1" width="34" customWidth="1"/>
    <col min="2" max="2" width="55" customWidth="1"/>
    <col min="3" max="3" width="48" customWidth="1"/>
    <col min="4" max="4" width="58" customWidth="1"/>
  </cols>
  <sheetData>
    <row r="1" ht="30" customHeight="1" spans="1:4">
      <c r="A1" s="1" t="s">
        <v>375</v>
      </c>
      <c r="B1" s="1"/>
      <c r="C1" s="1"/>
      <c r="D1" s="1"/>
    </row>
    <row r="2" spans="1:4">
      <c r="A2" s="2"/>
      <c r="B2" s="2"/>
      <c r="C2" s="2"/>
      <c r="D2" s="2"/>
    </row>
    <row r="3" ht="39.6" customHeight="1" spans="1:4">
      <c r="A3" s="3" t="s">
        <v>376</v>
      </c>
      <c r="B3" s="4" t="s">
        <v>377</v>
      </c>
      <c r="C3" s="2"/>
      <c r="D3" s="2"/>
    </row>
    <row r="4" ht="26.45" customHeight="1" spans="1:4">
      <c r="A4" s="3" t="s">
        <v>378</v>
      </c>
      <c r="B4" s="4" t="s">
        <v>379</v>
      </c>
      <c r="C4" s="2"/>
      <c r="D4" s="2"/>
    </row>
    <row r="5" ht="15" customHeight="1" spans="1:4">
      <c r="A5" s="2"/>
      <c r="B5" s="2"/>
      <c r="C5" s="2"/>
      <c r="D5" s="2"/>
    </row>
    <row r="6" ht="15" customHeight="1" spans="1:4">
      <c r="A6" s="5" t="s">
        <v>67</v>
      </c>
      <c r="B6" s="5" t="s">
        <v>380</v>
      </c>
      <c r="C6" s="5" t="s">
        <v>381</v>
      </c>
      <c r="D6" s="2"/>
    </row>
    <row r="7" ht="26.45" customHeight="1" spans="1:4">
      <c r="A7" s="4" t="s">
        <v>76</v>
      </c>
      <c r="B7" s="4" t="s">
        <v>382</v>
      </c>
      <c r="C7" s="4" t="s">
        <v>383</v>
      </c>
      <c r="D7" s="2"/>
    </row>
    <row r="8" ht="15" customHeight="1" spans="1:4">
      <c r="A8" s="4" t="s">
        <v>168</v>
      </c>
      <c r="B8" s="4" t="s">
        <v>384</v>
      </c>
      <c r="C8" s="4" t="s">
        <v>385</v>
      </c>
      <c r="D8" s="2"/>
    </row>
    <row r="9" ht="15" customHeight="1" spans="1:4">
      <c r="A9" s="4" t="s">
        <v>100</v>
      </c>
      <c r="B9" s="4" t="s">
        <v>386</v>
      </c>
      <c r="C9" s="4" t="s">
        <v>387</v>
      </c>
      <c r="D9" s="2"/>
    </row>
    <row r="10" ht="26.45" customHeight="1" spans="1:4">
      <c r="A10" s="4" t="s">
        <v>192</v>
      </c>
      <c r="B10" s="4" t="s">
        <v>388</v>
      </c>
      <c r="C10" s="4" t="s">
        <v>389</v>
      </c>
      <c r="D10" s="2"/>
    </row>
    <row r="11" ht="15" customHeight="1" spans="1:4">
      <c r="A11" s="2"/>
      <c r="B11" s="2"/>
      <c r="C11" s="2"/>
      <c r="D11" s="2"/>
    </row>
    <row r="12" ht="15" customHeight="1" spans="1:4">
      <c r="A12" s="5" t="s">
        <v>390</v>
      </c>
      <c r="B12" s="5" t="s">
        <v>391</v>
      </c>
      <c r="C12" s="2"/>
      <c r="D12" s="2"/>
    </row>
    <row r="13" ht="15" customHeight="1" spans="1:4">
      <c r="A13" s="2" t="s">
        <v>392</v>
      </c>
      <c r="B13" s="2">
        <f>COUNTIF(关系表new!$E$2:$E$83,"高")</f>
        <v>58</v>
      </c>
      <c r="C13" s="2"/>
      <c r="D13" s="2"/>
    </row>
    <row r="14" ht="15" customHeight="1" spans="1:4">
      <c r="A14" s="2" t="s">
        <v>393</v>
      </c>
      <c r="B14" s="2">
        <f>COUNTIF(关系表new!$E$2:$E$83,"中高")</f>
        <v>3</v>
      </c>
      <c r="C14" s="2"/>
      <c r="D14" s="2"/>
    </row>
    <row r="15" ht="15" customHeight="1" spans="1:4">
      <c r="A15" s="2" t="s">
        <v>394</v>
      </c>
      <c r="B15" s="2">
        <f>COUNTIF(关系表new!$E$2:$E$83,"中")</f>
        <v>16</v>
      </c>
      <c r="C15" s="2"/>
      <c r="D15" s="2"/>
    </row>
    <row r="16" ht="15" customHeight="1" spans="1:4">
      <c r="A16" s="2" t="s">
        <v>395</v>
      </c>
      <c r="B16" s="2">
        <f>COUNTIF(关系表new!$E$2:$E$83,"低")</f>
        <v>5</v>
      </c>
      <c r="C16" s="2"/>
      <c r="D16" s="2"/>
    </row>
    <row r="17" ht="15" customHeight="1" spans="1:4">
      <c r="A17" s="2" t="s">
        <v>193</v>
      </c>
      <c r="B17" s="2">
        <f>COUNTIF(关系表new!$F$2:$F$83,"暂缓加入")</f>
        <v>5</v>
      </c>
      <c r="C17" s="2"/>
      <c r="D17" s="2"/>
    </row>
    <row r="18" ht="15" customHeight="1" spans="1:4">
      <c r="A18" s="2" t="s">
        <v>87</v>
      </c>
      <c r="B18" s="2">
        <f>COUNTIF(关系表new!$F$2:$F$83,"建议改为属性/不建边")</f>
        <v>4</v>
      </c>
      <c r="C18" s="2"/>
      <c r="D18" s="2"/>
    </row>
    <row r="19" ht="15" customHeight="1" spans="1:4">
      <c r="A19" s="2"/>
      <c r="B19" s="2"/>
      <c r="C19" s="2"/>
      <c r="D19" s="2"/>
    </row>
    <row r="20" ht="15" customHeight="1" spans="1:4">
      <c r="A20" s="5" t="s">
        <v>396</v>
      </c>
      <c r="B20" s="5" t="s">
        <v>397</v>
      </c>
      <c r="C20" s="5" t="s">
        <v>398</v>
      </c>
      <c r="D20" s="5" t="s">
        <v>399</v>
      </c>
    </row>
    <row r="21" ht="15" customHeight="1" spans="1:4">
      <c r="A21" s="4" t="s">
        <v>400</v>
      </c>
      <c r="B21" s="4" t="s">
        <v>401</v>
      </c>
      <c r="C21" s="4" t="s">
        <v>402</v>
      </c>
      <c r="D21" s="4" t="s">
        <v>403</v>
      </c>
    </row>
    <row r="22" ht="15" customHeight="1" spans="1:4">
      <c r="A22" s="4" t="s">
        <v>404</v>
      </c>
      <c r="B22" s="4" t="s">
        <v>405</v>
      </c>
      <c r="C22" s="4" t="s">
        <v>406</v>
      </c>
      <c r="D22" s="4" t="s">
        <v>407</v>
      </c>
    </row>
    <row r="23" ht="15" customHeight="1" spans="1:4">
      <c r="A23" s="4" t="s">
        <v>408</v>
      </c>
      <c r="B23" s="4" t="s">
        <v>409</v>
      </c>
      <c r="C23" s="4" t="s">
        <v>410</v>
      </c>
      <c r="D23" s="4" t="s">
        <v>411</v>
      </c>
    </row>
    <row r="24" ht="15" customHeight="1" spans="1:4">
      <c r="A24" s="4" t="s">
        <v>412</v>
      </c>
      <c r="B24" s="4" t="s">
        <v>413</v>
      </c>
      <c r="C24" s="4" t="s">
        <v>414</v>
      </c>
      <c r="D24" s="4" t="s">
        <v>415</v>
      </c>
    </row>
    <row r="25" ht="15" customHeight="1" spans="1:4">
      <c r="A25" s="4" t="s">
        <v>416</v>
      </c>
      <c r="B25" s="4" t="s">
        <v>417</v>
      </c>
      <c r="C25" s="4" t="s">
        <v>418</v>
      </c>
      <c r="D25" s="4" t="s">
        <v>419</v>
      </c>
    </row>
    <row r="26" ht="15" customHeight="1" spans="1:4">
      <c r="A26" s="4" t="s">
        <v>420</v>
      </c>
      <c r="B26" s="4" t="s">
        <v>421</v>
      </c>
      <c r="C26" s="4" t="s">
        <v>422</v>
      </c>
      <c r="D26" s="4" t="s">
        <v>423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节点表new</vt:lpstr>
      <vt:lpstr>关系表new</vt:lpstr>
      <vt:lpstr>推断说明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丁页</dc:creator>
  <cp:lastModifiedBy>尤雅</cp:lastModifiedBy>
  <dcterms:created xsi:type="dcterms:W3CDTF">2026-08-11T06:37:00Z</dcterms:created>
  <dcterms:modified xsi:type="dcterms:W3CDTF">2026-08-12T02:51:18Z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1DBBF9655FAD4A299A4D098BA50050EE_13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